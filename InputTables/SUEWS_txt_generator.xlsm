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unt05/Downloads/20160610Merge/tables/"/>
    </mc:Choice>
  </mc:AlternateContent>
  <bookViews>
    <workbookView xWindow="8720" yWindow="460" windowWidth="16800" windowHeight="15540" tabRatio="896" firstSheet="8" activeTab="12"/>
  </bookViews>
  <sheets>
    <sheet name="SUEWS_SiteSelect" sheetId="10" r:id="rId1"/>
    <sheet name="SUEWS_NonVeg" sheetId="2" r:id="rId2"/>
    <sheet name="SUEWS_Veg" sheetId="4" r:id="rId3"/>
    <sheet name="SUEWS_Water" sheetId="5" r:id="rId4"/>
    <sheet name="SUEWS_Snow" sheetId="7" r:id="rId5"/>
    <sheet name="SUEWS_Soil" sheetId="6" r:id="rId6"/>
    <sheet name="SUEWS_Conductance" sheetId="8" r:id="rId7"/>
    <sheet name="SUEWS_AnthropogenicHeat" sheetId="12" r:id="rId8"/>
    <sheet name="SUEWS_Irrigation" sheetId="13" r:id="rId9"/>
    <sheet name="SUEWS_Profiles" sheetId="1" r:id="rId10"/>
    <sheet name="SUEWS_WithinGridWaterDist" sheetId="18" r:id="rId11"/>
    <sheet name="SUEWS_OHMCoefficients" sheetId="17" r:id="rId12"/>
    <sheet name="SUEWS_ESTMCoefficients" sheetId="19" r:id="rId13"/>
  </sheets>
  <definedNames>
    <definedName name="_4.10_GIS_input" localSheetId="9">SUEWS_Profiles!$B$26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9" l="1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Q1" i="19"/>
  <c r="R1" i="19"/>
  <c r="S1" i="19"/>
  <c r="T1" i="19"/>
  <c r="U1" i="19"/>
  <c r="V1" i="19"/>
  <c r="W1" i="19"/>
  <c r="X1" i="19"/>
  <c r="Y1" i="19"/>
  <c r="Z1" i="19"/>
  <c r="AA1" i="19"/>
  <c r="AB1" i="19"/>
  <c r="AC1" i="19"/>
  <c r="AD1" i="19"/>
  <c r="AE1" i="19"/>
  <c r="AF1" i="19"/>
  <c r="AG1" i="19"/>
  <c r="AH1" i="19"/>
  <c r="AI1" i="19"/>
  <c r="AJ1" i="19"/>
  <c r="AK1" i="19"/>
  <c r="AL1" i="19"/>
  <c r="AM1" i="19"/>
  <c r="AN1" i="19"/>
  <c r="AO1" i="19"/>
  <c r="AP1" i="19"/>
  <c r="AQ1" i="19"/>
  <c r="AR1" i="19"/>
  <c r="AS1" i="19"/>
  <c r="AT1" i="19"/>
  <c r="AU1" i="19"/>
  <c r="AV1" i="19"/>
  <c r="AW1" i="19"/>
  <c r="AX1" i="19"/>
  <c r="AY1" i="19"/>
  <c r="AZ1" i="19"/>
</calcChain>
</file>

<file path=xl/sharedStrings.xml><?xml version="1.0" encoding="utf-8"?>
<sst xmlns="http://schemas.openxmlformats.org/spreadsheetml/2006/main" count="1797" uniqueCount="629">
  <si>
    <t>Anthropogenic Heat Flux Profile values</t>
  </si>
  <si>
    <t>Code</t>
  </si>
  <si>
    <t>Albedo</t>
  </si>
  <si>
    <t>BaseTe</t>
  </si>
  <si>
    <t>BLDG</t>
  </si>
  <si>
    <t>Snow</t>
  </si>
  <si>
    <t>Emissivity</t>
  </si>
  <si>
    <t>BaseT</t>
  </si>
  <si>
    <t>GDDFull</t>
  </si>
  <si>
    <t>SDDFull</t>
  </si>
  <si>
    <t>S1</t>
  </si>
  <si>
    <t>S2</t>
  </si>
  <si>
    <t>!</t>
  </si>
  <si>
    <t>SoilTypeCode</t>
  </si>
  <si>
    <t>Water Use Profile values</t>
  </si>
  <si>
    <t>Vs 1987</t>
  </si>
  <si>
    <t>Manual  LA</t>
  </si>
  <si>
    <t>Automatic LA</t>
  </si>
  <si>
    <t>AHDIUPRF</t>
  </si>
  <si>
    <t>AHDIUPRF1</t>
  </si>
  <si>
    <t>AHDIUPRF2</t>
  </si>
  <si>
    <t>Helsinki</t>
  </si>
  <si>
    <t>Snow removal</t>
  </si>
  <si>
    <t>SoilDensity</t>
  </si>
  <si>
    <t>PAV</t>
  </si>
  <si>
    <t>G1</t>
  </si>
  <si>
    <t>G2</t>
  </si>
  <si>
    <t>G3</t>
  </si>
  <si>
    <t>G4</t>
  </si>
  <si>
    <t>G5</t>
  </si>
  <si>
    <t>G6</t>
  </si>
  <si>
    <t>Jarvi et al. (2011)</t>
  </si>
  <si>
    <t>Jarvi et al (2014)</t>
  </si>
  <si>
    <t>Grid</t>
  </si>
  <si>
    <t>Water</t>
  </si>
  <si>
    <t>Year</t>
  </si>
  <si>
    <t>Alt</t>
  </si>
  <si>
    <t>BaseTHDD</t>
  </si>
  <si>
    <t>lng</t>
  </si>
  <si>
    <t>FlowChange</t>
  </si>
  <si>
    <t>RunoffToWater</t>
  </si>
  <si>
    <t>SurfaceArea</t>
  </si>
  <si>
    <t>PipeCapacity</t>
  </si>
  <si>
    <t>Ie_start</t>
  </si>
  <si>
    <t>Ie_end</t>
  </si>
  <si>
    <t>InternalWaterUse</t>
  </si>
  <si>
    <t>Faut</t>
  </si>
  <si>
    <t>DayWat(1)</t>
  </si>
  <si>
    <t>DayWat(2)</t>
  </si>
  <si>
    <t>DayWat(3)</t>
  </si>
  <si>
    <t>DayWat(4)</t>
  </si>
  <si>
    <t>DayWat(5)</t>
  </si>
  <si>
    <t>DayWat(6)</t>
  </si>
  <si>
    <t>DayWat(7)</t>
  </si>
  <si>
    <t>DayWatPer(1)</t>
  </si>
  <si>
    <t>DayWatPer(2)</t>
  </si>
  <si>
    <t>DayWatPer(3)</t>
  </si>
  <si>
    <t>DayWatPer(4)</t>
  </si>
  <si>
    <t>DayWatPer(5)</t>
  </si>
  <si>
    <t>DayWatPer(6)</t>
  </si>
  <si>
    <t>DayWatPer(7)</t>
  </si>
  <si>
    <t>Longitude</t>
  </si>
  <si>
    <t>Altitude</t>
  </si>
  <si>
    <t>sand</t>
  </si>
  <si>
    <t>silt</t>
  </si>
  <si>
    <t>loam</t>
  </si>
  <si>
    <t>clay</t>
  </si>
  <si>
    <t>sodic clayey soils</t>
  </si>
  <si>
    <t>imin</t>
  </si>
  <si>
    <t>ih</t>
  </si>
  <si>
    <t xml:space="preserve">Grid </t>
  </si>
  <si>
    <t>SnowCode</t>
  </si>
  <si>
    <t>a1</t>
  </si>
  <si>
    <t>a2</t>
  </si>
  <si>
    <t>a3</t>
  </si>
  <si>
    <t>Grass</t>
  </si>
  <si>
    <t>summer</t>
  </si>
  <si>
    <t>Asphalt</t>
  </si>
  <si>
    <t>NR</t>
  </si>
  <si>
    <t>Concrete</t>
  </si>
  <si>
    <t>AnthropogenicCode</t>
  </si>
  <si>
    <t>Jarvi et al 2014</t>
  </si>
  <si>
    <t>Järvi et al. (2011) - MD</t>
  </si>
  <si>
    <t>Paved</t>
  </si>
  <si>
    <t>Buildings</t>
  </si>
  <si>
    <t>Decid</t>
  </si>
  <si>
    <t>EveTr</t>
  </si>
  <si>
    <t>DecTr</t>
  </si>
  <si>
    <t>UnmanBare</t>
  </si>
  <si>
    <t>WithinGridGrassCode</t>
  </si>
  <si>
    <t>WithinGridEveTrCode</t>
  </si>
  <si>
    <t>WithinGridDecTrCode</t>
  </si>
  <si>
    <t>WithinGridWaterCode</t>
  </si>
  <si>
    <t>lat</t>
  </si>
  <si>
    <t>StartDLS</t>
  </si>
  <si>
    <t>EndDLS</t>
  </si>
  <si>
    <t>id</t>
  </si>
  <si>
    <t>Bsoil</t>
  </si>
  <si>
    <t>IrrFr_EveTr</t>
  </si>
  <si>
    <t>IrrFr_DecTr</t>
  </si>
  <si>
    <t>IrrFr_Grass</t>
  </si>
  <si>
    <t>Code_Bsoil</t>
  </si>
  <si>
    <t>Code_Grass</t>
  </si>
  <si>
    <t>Code_DecTr</t>
  </si>
  <si>
    <t>Code_EveTr</t>
  </si>
  <si>
    <t>Code_Paved</t>
  </si>
  <si>
    <t>Code_Water</t>
  </si>
  <si>
    <t>StorageMin</t>
  </si>
  <si>
    <t>StorageMax</t>
  </si>
  <si>
    <t>DrainageEq</t>
  </si>
  <si>
    <t>DrainageCoef1</t>
  </si>
  <si>
    <t>DrainageCoef2</t>
  </si>
  <si>
    <t>SoilStoreCap</t>
  </si>
  <si>
    <t>SnowLimPatch</t>
  </si>
  <si>
    <t>LAIMin</t>
  </si>
  <si>
    <t>LAIMax</t>
  </si>
  <si>
    <t>LAIEq</t>
  </si>
  <si>
    <t>LeafGrowthPower1</t>
  </si>
  <si>
    <t>LeafGrowthPower2</t>
  </si>
  <si>
    <t>LeafOffPower1</t>
  </si>
  <si>
    <t>LeafOffPower2</t>
  </si>
  <si>
    <t xml:space="preserve">MaxConductance  </t>
  </si>
  <si>
    <t>RadMeltFactor</t>
  </si>
  <si>
    <t>TempMeltFactor</t>
  </si>
  <si>
    <t>AlbedoMin</t>
  </si>
  <si>
    <t>AlbedoMax</t>
  </si>
  <si>
    <t>PrecipLimAlb</t>
  </si>
  <si>
    <t>SnowDensMin</t>
  </si>
  <si>
    <t>SnowDensMax</t>
  </si>
  <si>
    <t>tau_r</t>
  </si>
  <si>
    <t>tau_f</t>
  </si>
  <si>
    <t>tau_a</t>
  </si>
  <si>
    <t>CRWMin</t>
  </si>
  <si>
    <t>CRWMax</t>
  </si>
  <si>
    <t>LUMPS_DrRate</t>
  </si>
  <si>
    <t>LUMPS_MaxRes</t>
  </si>
  <si>
    <t>LUMPS_Cover</t>
  </si>
  <si>
    <t>NARP_Trans</t>
  </si>
  <si>
    <t>CondCode</t>
  </si>
  <si>
    <t>IrrigationCode</t>
  </si>
  <si>
    <t>PrecipLimSnow</t>
  </si>
  <si>
    <t>OBS_SoilNotRocks</t>
  </si>
  <si>
    <t>OBS_SMDepth</t>
  </si>
  <si>
    <t xml:space="preserve">OBS_SMCap  </t>
  </si>
  <si>
    <t>SnowLimRemove</t>
  </si>
  <si>
    <t>SatHydraulicCond</t>
  </si>
  <si>
    <t>InfiltrationRate</t>
  </si>
  <si>
    <t>TH</t>
  </si>
  <si>
    <t>TL</t>
  </si>
  <si>
    <t>Kmax</t>
  </si>
  <si>
    <t>OHMCode_SummerWet</t>
  </si>
  <si>
    <t>OHMCode_SummerDry</t>
  </si>
  <si>
    <t>OHMCode_WinterWet</t>
  </si>
  <si>
    <t>OHMCode_WinterDry</t>
  </si>
  <si>
    <t>AHMin</t>
  </si>
  <si>
    <t>AHSlope</t>
  </si>
  <si>
    <t>TCritic</t>
  </si>
  <si>
    <t>QF_A_Weekday</t>
  </si>
  <si>
    <t>QF_B_Weekday</t>
  </si>
  <si>
    <t>QF_C_Weekday</t>
  </si>
  <si>
    <t>QF_A_Weekend</t>
  </si>
  <si>
    <t>QF_B_Weekend</t>
  </si>
  <si>
    <t>QF_C_Weekend</t>
  </si>
  <si>
    <t>Ie_a1</t>
  </si>
  <si>
    <t>Ie_a2</t>
  </si>
  <si>
    <t>Ie_a3</t>
  </si>
  <si>
    <t>Ie_m1</t>
  </si>
  <si>
    <t>Ie_m2</t>
  </si>
  <si>
    <t>Ie_m3</t>
  </si>
  <si>
    <t>WithinGridPavedCode</t>
  </si>
  <si>
    <t>WithinGridUnmanBSoilCode</t>
  </si>
  <si>
    <t>ToPaved</t>
  </si>
  <si>
    <t>ToBuilt</t>
  </si>
  <si>
    <t>ToEveTr</t>
  </si>
  <si>
    <t>ToDecTr</t>
  </si>
  <si>
    <t>ToGrass</t>
  </si>
  <si>
    <t>ToBSoil</t>
  </si>
  <si>
    <t>ToWater</t>
  </si>
  <si>
    <t>ToRunoff</t>
  </si>
  <si>
    <t>ToSoilStore</t>
  </si>
  <si>
    <t>zd</t>
  </si>
  <si>
    <t>z0</t>
  </si>
  <si>
    <t>Start of the day light savings</t>
  </si>
  <si>
    <t>End of the day light savings</t>
  </si>
  <si>
    <t>Latitude</t>
  </si>
  <si>
    <t>[ha]</t>
  </si>
  <si>
    <t>[m]</t>
  </si>
  <si>
    <t>[DOY]</t>
  </si>
  <si>
    <t>[decimal degrees]</t>
  </si>
  <si>
    <t>[YYYY]</t>
  </si>
  <si>
    <t>[GGGGG]</t>
  </si>
  <si>
    <t>Day</t>
  </si>
  <si>
    <t>Hour</t>
  </si>
  <si>
    <t>Minute</t>
  </si>
  <si>
    <t>Not currently implemented, set to 1</t>
  </si>
  <si>
    <t>Not currently implemented, set to 0</t>
  </si>
  <si>
    <t>Surface cover fraction</t>
  </si>
  <si>
    <t>Fraction of evergreen trees that are irrigated</t>
  </si>
  <si>
    <t>Fraction of deciduous trees that are irrigated</t>
  </si>
  <si>
    <t>Fraction of grass that is irrigated</t>
  </si>
  <si>
    <t>Mean building height</t>
  </si>
  <si>
    <t>Roughness length for momentum</t>
  </si>
  <si>
    <t>Zero-plane displacement</t>
  </si>
  <si>
    <t>Frontal area index for buildings</t>
  </si>
  <si>
    <t>Code linking to SUEWS_Water, col. 1</t>
  </si>
  <si>
    <t>Drainage rate of bucket for LUMPS</t>
  </si>
  <si>
    <t>[mm h-1]</t>
  </si>
  <si>
    <t>[mm]</t>
  </si>
  <si>
    <t>Limit when surface totally covered with water</t>
  </si>
  <si>
    <t>Maximum water bucket reservoir</t>
  </si>
  <si>
    <t>Atmospheric transmissivity for NARP</t>
  </si>
  <si>
    <t>Code for Paved surface characteristics</t>
  </si>
  <si>
    <t>Code for EveTr surface characteristics</t>
  </si>
  <si>
    <t>Code for DecTr surface characteristics</t>
  </si>
  <si>
    <t>Code for Grass surface characteristics</t>
  </si>
  <si>
    <t>Code for BSoil surface characteristics</t>
  </si>
  <si>
    <t>Code for Water surface characteristics</t>
  </si>
  <si>
    <t>Links to SUEWS_Conductance, col. 1</t>
  </si>
  <si>
    <t>Links to SUEWS_Snow, col. 1</t>
  </si>
  <si>
    <t>Code for surface conductance parameters</t>
  </si>
  <si>
    <t>Code for snow surface characteristics</t>
  </si>
  <si>
    <t>Links to SUEWS_Profiles, col. 1</t>
  </si>
  <si>
    <t>Code for modelling anthropogenic heat flux</t>
  </si>
  <si>
    <t xml:space="preserve">Links to SUEWS_Anthropogenic, col.1 </t>
  </si>
  <si>
    <t>Links to SUEWS_Irrigation, col. 1</t>
  </si>
  <si>
    <t>Code for modelling irrigation</t>
  </si>
  <si>
    <t>Difference in input and output flows for water surface</t>
  </si>
  <si>
    <t>Fraction of above-ground runoff flowing to water surface during flooding</t>
  </si>
  <si>
    <t>Storage capacity of pipes</t>
  </si>
  <si>
    <t>Set to 0 if no connectivity between grids or run is only for a single grid</t>
  </si>
  <si>
    <t xml:space="preserve">Number of the grid where water can flow to </t>
  </si>
  <si>
    <t xml:space="preserve">Fraction of water that can flow to the grid in col. 54 </t>
  </si>
  <si>
    <t>Fraction of water that can flow to the grid in col. 56</t>
  </si>
  <si>
    <t>Fraction of water that can flow to the grid in col. 58</t>
  </si>
  <si>
    <t>Fraction of water that can flow to the grid in col. 60</t>
  </si>
  <si>
    <t>Fraction of water that can flow to the grid in col. 62</t>
  </si>
  <si>
    <t>Fraction of water that can flow to the grid in col. 64</t>
  </si>
  <si>
    <t>Fraction of water that can flow to the grid in col. 66</t>
  </si>
  <si>
    <t>Fraction of water that can flow to the grid in col. 68</t>
  </si>
  <si>
    <t>Links to SUEWS_WithinGridWaterDist, col. 1</t>
  </si>
  <si>
    <t>WithinGridBSoilCode</t>
  </si>
  <si>
    <t>Albedo of this surface</t>
  </si>
  <si>
    <t>Emissivity of this surface</t>
  </si>
  <si>
    <t>Minimum storage capacity of this surface</t>
  </si>
  <si>
    <t>Maximum storage capacity of this surface</t>
  </si>
  <si>
    <t>Drainage equation to use for this surface</t>
  </si>
  <si>
    <t>Coefficient for drainage equation</t>
  </si>
  <si>
    <t>Code for soil characteristics below this surface</t>
  </si>
  <si>
    <t>Maximum SWE</t>
  </si>
  <si>
    <t>SWE when snow is removed from this surface</t>
  </si>
  <si>
    <t>Links to SUEWS_OHMCoefficients, col. 1</t>
  </si>
  <si>
    <t>Temperature for initiating leaf growth</t>
  </si>
  <si>
    <t>[degC]</t>
  </si>
  <si>
    <t>Temperature for initating senescence</t>
  </si>
  <si>
    <t>Growing degree days needed for full capacity</t>
  </si>
  <si>
    <t>Minimum leaf area index</t>
  </si>
  <si>
    <t>Maximum leaf area index</t>
  </si>
  <si>
    <t>[m2 m-2]</t>
  </si>
  <si>
    <t>MaxConductance</t>
  </si>
  <si>
    <t>[mm s-1]</t>
  </si>
  <si>
    <t>LAI equation to use for this surface</t>
  </si>
  <si>
    <t>Maximum conductance for this surface</t>
  </si>
  <si>
    <t>For Water surface</t>
  </si>
  <si>
    <t>Code for Water surface</t>
  </si>
  <si>
    <t>Links to Code_Water in SUEWS_SiteSelect</t>
  </si>
  <si>
    <t>Not currently implemented</t>
  </si>
  <si>
    <t>Code for Snow surface</t>
  </si>
  <si>
    <t>Links to SnowCode in SUEWS_SiteSelect</t>
  </si>
  <si>
    <t>Hourly radiation melt factor of snow</t>
  </si>
  <si>
    <t>Hourly temperature melt factor of snow</t>
  </si>
  <si>
    <t>Minimum albedo</t>
  </si>
  <si>
    <t>Fresh snow albedo</t>
  </si>
  <si>
    <t>Time constant for snow albedo aging in cold snow</t>
  </si>
  <si>
    <t>Time constant for snow albedo aging in melting snow</t>
  </si>
  <si>
    <t>Limit for hourly precipitation when snow albedo is reset to AlbMax</t>
  </si>
  <si>
    <t>Fresh snow density</t>
  </si>
  <si>
    <t>Maximum snow density</t>
  </si>
  <si>
    <t>[kg m-3]</t>
  </si>
  <si>
    <t>Time constant for snow density</t>
  </si>
  <si>
    <t>Minimum water holding capacity of snow</t>
  </si>
  <si>
    <t>Maximum water holding capacity of snow</t>
  </si>
  <si>
    <t>OBS</t>
  </si>
  <si>
    <t>Infiltration rate</t>
  </si>
  <si>
    <t>Hydraulic conductivity for saturated soil</t>
  </si>
  <si>
    <t>Soil density</t>
  </si>
  <si>
    <t>Depth of soil moisture measurements</t>
  </si>
  <si>
    <t>Use only if SM is observed, not modelled</t>
  </si>
  <si>
    <t>OBS_SMCap</t>
  </si>
  <si>
    <t>Maxiumum observed soil moisture</t>
  </si>
  <si>
    <t>[m3 m-3 or kg kg-1]</t>
  </si>
  <si>
    <t>Fraction of soil without rocks</t>
  </si>
  <si>
    <t>Code for soil type below each surface (except water)</t>
  </si>
  <si>
    <t>Code for energy use, water use or snow clearing profile</t>
  </si>
  <si>
    <t>Links to SnowClearingProfWeekday/Weekend, EnergyProfWeekday/Weekend, WaterProfManual/Automatic in SUEWS_SiteSelect</t>
  </si>
  <si>
    <t>0-23</t>
  </si>
  <si>
    <t>Hour of the day</t>
  </si>
  <si>
    <t>2 to 25</t>
  </si>
  <si>
    <t>Code for within grid water distribution</t>
  </si>
  <si>
    <t>Links to WithinGridPavedCode, WithinGridBuiltCode, etc fo each surface type in SUEWS_SiteSelect</t>
  </si>
  <si>
    <t>For each surface</t>
  </si>
  <si>
    <t>Fraction of water flowing from this surface to Built surface</t>
  </si>
  <si>
    <t>Fraction of water flowing from this surface to Paved surface</t>
  </si>
  <si>
    <t>Fraction of water flowing from this surface to EveTr surface</t>
  </si>
  <si>
    <t>Fraction of water flowing from this surface to DecTr surface</t>
  </si>
  <si>
    <t>Fraction of water flowing from this surface to Grass surface</t>
  </si>
  <si>
    <t>Fraction of water flowing from this surface to BSoil surface</t>
  </si>
  <si>
    <t>N.B. Water cannot flow from a surface to the same surface, so diagonal elements must be zero</t>
  </si>
  <si>
    <t>Fraction of water from this surface entering the soil store</t>
  </si>
  <si>
    <t>Fraction of water from this surface that becomes runoff</t>
  </si>
  <si>
    <t>Evergreen</t>
  </si>
  <si>
    <t>Columns 2-10 must sum to 1</t>
  </si>
  <si>
    <t>Links to IrrigationCode in SUEWS_SiteSelect</t>
  </si>
  <si>
    <t>Day when irrigation starts</t>
  </si>
  <si>
    <t>Day when irrigation ends</t>
  </si>
  <si>
    <t>Internal water use</t>
  </si>
  <si>
    <t>Fraction of irrigated area using automatic sprinklers</t>
  </si>
  <si>
    <t>Coefficient for automatic irrigation model</t>
  </si>
  <si>
    <t>Coefficient for manual irrigation model</t>
  </si>
  <si>
    <t>[mm d-1]</t>
  </si>
  <si>
    <t>Irrigation allowed on Mondays [1], if not [0]</t>
  </si>
  <si>
    <t>Irrigation allowed on Tuesdays [1], if not [0]</t>
  </si>
  <si>
    <t>Irrigation allowed on Wednesdays [1], if not [0]</t>
  </si>
  <si>
    <t>Irrigation allowed on Thursdays [1], if not [0]</t>
  </si>
  <si>
    <t>Irrigation allowed on Fridays [1], if not [0]</t>
  </si>
  <si>
    <t>Irrigation allowed on Saturdays [1], if not [0]</t>
  </si>
  <si>
    <t>Irrigation allowed on Sundays [1], if not [0]</t>
  </si>
  <si>
    <t>Code for anthropogenic heat modelling</t>
  </si>
  <si>
    <t>Code for irrigation modelling</t>
  </si>
  <si>
    <t>Base temperature for heating degree days</t>
  </si>
  <si>
    <t>[W m-2 (Cap ha-1)-1]</t>
  </si>
  <si>
    <t>[W m-2 K-1 (Cap ha-1)-1]</t>
  </si>
  <si>
    <t>Base value for QF on weekdays</t>
  </si>
  <si>
    <t>Base value for QF on weekends</t>
  </si>
  <si>
    <t>Related to cooling degree days on weekdays</t>
  </si>
  <si>
    <t>Related to heating degree days on weekdays</t>
  </si>
  <si>
    <t>Related to cooling degree days on weekends</t>
  </si>
  <si>
    <t>Related to heating degree days on weekends</t>
  </si>
  <si>
    <t>[W m-2]</t>
  </si>
  <si>
    <t>[W m-2 K-1]</t>
  </si>
  <si>
    <t>Minimum QF</t>
  </si>
  <si>
    <t>Slope of QF versus Tair</t>
  </si>
  <si>
    <t>Critical temperature</t>
  </si>
  <si>
    <t>Use with AnthropHeatChoice = 2</t>
  </si>
  <si>
    <t>Use with AnthropHeatChoice = 1</t>
  </si>
  <si>
    <t>Code for storage heat flux estimation using OHM</t>
  </si>
  <si>
    <t>Coefficient for Q* term</t>
  </si>
  <si>
    <t>Coefficient for dQ*/dt term</t>
  </si>
  <si>
    <t>Constant</t>
  </si>
  <si>
    <t>[-]</t>
  </si>
  <si>
    <t>Maximum incoming shortwave radiation</t>
  </si>
  <si>
    <t>N.B. These values should not be changed independently of each other</t>
  </si>
  <si>
    <t>Related to soil moisture dependence</t>
  </si>
  <si>
    <t>Related to Kdown dependence</t>
  </si>
  <si>
    <t>Related to VPD dependence</t>
  </si>
  <si>
    <t>[kg g-1]</t>
  </si>
  <si>
    <t>[g kg-1]</t>
  </si>
  <si>
    <t>Related to temperature dependence</t>
  </si>
  <si>
    <t>[mm-1]</t>
  </si>
  <si>
    <t>Related to maximum surface conductance</t>
  </si>
  <si>
    <t>Swindon</t>
  </si>
  <si>
    <t>Ward et al. (2013)</t>
  </si>
  <si>
    <t>Weekday QF</t>
  </si>
  <si>
    <t>Weekend QF</t>
  </si>
  <si>
    <t>(not present)</t>
  </si>
  <si>
    <t>(not used, no irrigation)</t>
  </si>
  <si>
    <t>Surface type</t>
  </si>
  <si>
    <t>Reference</t>
  </si>
  <si>
    <t>Not recommended (NR)</t>
  </si>
  <si>
    <t>Canyon (E-W), Japan</t>
  </si>
  <si>
    <t>Yosheida (1990/91)</t>
  </si>
  <si>
    <t>Canyon, Vancouver</t>
  </si>
  <si>
    <t>Nunez (1974)</t>
  </si>
  <si>
    <t>Canyon (average)</t>
  </si>
  <si>
    <t>Vegetation (average)</t>
  </si>
  <si>
    <t>Mixed Forest</t>
  </si>
  <si>
    <t>McCaughey (1985)</t>
  </si>
  <si>
    <t>Short grass</t>
  </si>
  <si>
    <t>Doll et al. (1985)</t>
  </si>
  <si>
    <t>Bare soil</t>
  </si>
  <si>
    <t>Novak (1982)</t>
  </si>
  <si>
    <t>Bare soil (wet)</t>
  </si>
  <si>
    <t>Fuchs &amp; Hadas (1972)</t>
  </si>
  <si>
    <t>Bare soil (dry)</t>
  </si>
  <si>
    <t>Asaeda &amp; Ca (1983)</t>
  </si>
  <si>
    <t>Bare soil (mean)</t>
  </si>
  <si>
    <t>Water (shallow - turbid)</t>
  </si>
  <si>
    <t>Souch et al. (1998)</t>
  </si>
  <si>
    <t>Järvi et al. (2014)</t>
  </si>
  <si>
    <t>Roof (tar and gravel, summer)</t>
  </si>
  <si>
    <t>Roof (commerical or industrial, gravel, dry, WS &lt; 1 m/s, Vancouver)</t>
  </si>
  <si>
    <t>Meyn &amp; Oke (2009) Table 4, Pg 750</t>
  </si>
  <si>
    <t>Roof (commerical or industrial, gravel, dry, WS 1-1.4 m/s, Vancouver)</t>
  </si>
  <si>
    <t>Roof (commerical or industrial, gravel, dry, WS 1.5-2 m/s, Vancouver)</t>
  </si>
  <si>
    <t>Roof (commerical or industrial, gravel, wet, WS 0.9-1.9 m/s, Vancouver)</t>
  </si>
  <si>
    <t>Roof (commerical or industrial, bitumen spread over flat industrial membrane, wet &amp; dry, WS 1.1-2 m/s, Vancouver)</t>
  </si>
  <si>
    <t>Roof (residential, asphalt shingle on plywood, dry, WS &lt; 1 m/s, Vancouver)</t>
  </si>
  <si>
    <t>Roof (residential, asphalt shingle on plywood, dry, WS &lt; 1.0-1.4 m/s, Vancouver)</t>
  </si>
  <si>
    <t>Roof (residential, asphalt shingle on plywood, dry, WS &lt; 2 m/s, Vancouver)</t>
  </si>
  <si>
    <t>Roof (STAR, residential, high albedo asphalt shingle, dry, WS 1.0-1.4 m/s)</t>
  </si>
  <si>
    <t>Roof (STAR, Japanese ceramic tile)</t>
  </si>
  <si>
    <t>Roof (STAR, slate tile, dry, WS 1.0-1.4 m/s)</t>
  </si>
  <si>
    <t>Roof (STAR, clay tile, dry, WS 1.0-1.4 m/s)</t>
  </si>
  <si>
    <t>Roof (Uppsala)</t>
  </si>
  <si>
    <t>Taseler (1980)</t>
  </si>
  <si>
    <t>Roof (membrane &amp; concrete)</t>
  </si>
  <si>
    <t xml:space="preserve">Yoshida et al. (1990/91) </t>
  </si>
  <si>
    <t>Original roof average (inlcudes two not recommended - Meyn 2001 and old Meyn 2001 coefficients)</t>
  </si>
  <si>
    <t>Roof (own for SMEAR III, Helsinki)</t>
  </si>
  <si>
    <t xml:space="preserve">Own for Montreal suburban (calculated as a average from shingle types) </t>
  </si>
  <si>
    <t>Own for Montreal urban (calculated as a average from gravel)</t>
  </si>
  <si>
    <t>Asaeda &amp; Ca (1993)</t>
  </si>
  <si>
    <t>Narita et al. (1984)</t>
  </si>
  <si>
    <t xml:space="preserve">Anandakumar (1998) </t>
  </si>
  <si>
    <t>Asphalt (winter)</t>
  </si>
  <si>
    <t>Asphalt (summer)</t>
  </si>
  <si>
    <t>Impervious (average)</t>
  </si>
  <si>
    <t>Fr_Paved</t>
  </si>
  <si>
    <t>Fr_EveTr</t>
  </si>
  <si>
    <t>Fr_DecTr</t>
  </si>
  <si>
    <t>Fr_Grass</t>
  </si>
  <si>
    <t>Fr_Bsoil</t>
  </si>
  <si>
    <t>Fr_Water</t>
  </si>
  <si>
    <t>H_EveTr</t>
  </si>
  <si>
    <t>Mean evergreen tree height</t>
  </si>
  <si>
    <t>H_DecTr</t>
  </si>
  <si>
    <t>Mean deciduous tree height</t>
  </si>
  <si>
    <t>FAI_EveTr</t>
  </si>
  <si>
    <t>Frontal area index for evergreen trees</t>
  </si>
  <si>
    <t>FAI_DecTr</t>
  </si>
  <si>
    <t>Frontal area index for deciduous trees</t>
  </si>
  <si>
    <t>PopDensDay</t>
  </si>
  <si>
    <t>Daytime population density (i.e. workers, tourists)</t>
  </si>
  <si>
    <t>[no. people ha-1]</t>
  </si>
  <si>
    <t>PopDensNight</t>
  </si>
  <si>
    <t>Night-time population density (i.e. residents)</t>
  </si>
  <si>
    <t>GridConnection1of8</t>
  </si>
  <si>
    <t>Fraction1of8</t>
  </si>
  <si>
    <t>GridConnection2of8</t>
  </si>
  <si>
    <t>Fraction2of8</t>
  </si>
  <si>
    <t>GridConnection3of8</t>
  </si>
  <si>
    <t>Fraction3of8</t>
  </si>
  <si>
    <t>GridConnection4of8</t>
  </si>
  <si>
    <t>Fraction4of8</t>
  </si>
  <si>
    <t>GridConnection5of8</t>
  </si>
  <si>
    <t>Fraction5of8</t>
  </si>
  <si>
    <t>GridConnection6of8</t>
  </si>
  <si>
    <t>Fraction6of8</t>
  </si>
  <si>
    <t>GridConnection7of8</t>
  </si>
  <si>
    <t>Fraction7of8</t>
  </si>
  <si>
    <t>GridConnection8of8</t>
  </si>
  <si>
    <t>Fraction8of8</t>
  </si>
  <si>
    <t>Upper air temperature limit</t>
  </si>
  <si>
    <t>Lower air temperature limit</t>
  </si>
  <si>
    <t>SnowClearingProfWD</t>
  </si>
  <si>
    <t>SnowClearingProfWE</t>
  </si>
  <si>
    <t>EnergyUseProfWD</t>
  </si>
  <si>
    <t>EnergyUseProfWE</t>
  </si>
  <si>
    <t>WaterUseProfManuWD</t>
  </si>
  <si>
    <t>WaterUseProfManuWE</t>
  </si>
  <si>
    <t>WaterUseProfAutoWD</t>
  </si>
  <si>
    <t>WaterUseProfAutoWE</t>
  </si>
  <si>
    <t>[mm  d-1 degC-1]</t>
  </si>
  <si>
    <t>[mm d-2]</t>
  </si>
  <si>
    <t>[mm  d-1]</t>
  </si>
  <si>
    <t>[mm degC-1  d-1]</t>
  </si>
  <si>
    <t>Code for EveTr, DecTr or Grass surfaces</t>
  </si>
  <si>
    <t>Fraction of properties using irrigation on Sundays [0-1]</t>
  </si>
  <si>
    <t>Fraction of properties using irrigation on Mondays [0-1]</t>
  </si>
  <si>
    <t>Fraction of properties using irrigation on Tuesdays [0-1]</t>
  </si>
  <si>
    <t>Fraction of properties using irrigation on Wednesdays [0-1]</t>
  </si>
  <si>
    <t>Fraction of properties using irrigation on Thursdays [0-1]</t>
  </si>
  <si>
    <t>Fraction of properties using irrigation on Fridays [0-1]</t>
  </si>
  <si>
    <t>Fraction of properties using irrigation on Saturdays [0-1]</t>
  </si>
  <si>
    <t>Senescence degree days needed to initiate leaf off</t>
  </si>
  <si>
    <t>SoilDepth</t>
  </si>
  <si>
    <t>Depth of sub-surface soil store</t>
  </si>
  <si>
    <t>Capacity of sub-surface soil store (must not exceed col 2)</t>
  </si>
  <si>
    <t>For Buildings, Paved or Bare soil surface</t>
  </si>
  <si>
    <t>Links to SoilTypeCode in SUEWS_NonVeg, SUEWS_Veg</t>
  </si>
  <si>
    <t>Links to SUEWS_NonVeg, col. 1</t>
  </si>
  <si>
    <t>Links to OHM_Code_ columns in SUEWS_NonVeg, SUEWS_Veg, SUEWS_Water, SUEWS_Snow</t>
  </si>
  <si>
    <t>Code linking to SUEWS_Veg, col. 1</t>
  </si>
  <si>
    <t>Links to CondCode in SUEWS_Veg</t>
  </si>
  <si>
    <t>Code for snow clearing profile (weekdays)</t>
  </si>
  <si>
    <t>Code for snow clearing profile (weekends)</t>
  </si>
  <si>
    <t>Code for energy use profile (weekdays)</t>
  </si>
  <si>
    <t>Code for energy use profile (weekends)</t>
  </si>
  <si>
    <t>Code for water use profile (manual irrigation, weekdays)</t>
  </si>
  <si>
    <t>Code for water use profile (manual irrigation, weekends)</t>
  </si>
  <si>
    <t>Code for water use profile (automatic irrigation, weekdays)</t>
  </si>
  <si>
    <t>Code for water use profile (automatic irrigation, weekends)</t>
  </si>
  <si>
    <t>Code that links to fraction of water that flows from Paved surfaces to surfaces in columns 2-10 of SUEWS_WithinGridWaterDist</t>
  </si>
  <si>
    <t>Code that links to fraction of water that flows from Built surfaces to surfaces in columns 2-10 of SUEWS_WithinGridWaterDist</t>
  </si>
  <si>
    <t>Code that links to fraction of water that flows from EveTr surfaces to surfaces in columns 2-10 of SUEWS_WithinGridWaterDist</t>
  </si>
  <si>
    <t>Code that links to fraction of water that flows from DecTr surfaces to surfaces in columns 2-10 of SUEWS_WithinGridWaterDist</t>
  </si>
  <si>
    <t>Code that links to fraction of water that flows from Grass surfaces to surfaces in columns 2-10 of SUEWS_WithinGridWaterDist</t>
  </si>
  <si>
    <t>Code that links to fraction of water that flows from BSoil surfaces to surfaces in columns 2-10 of SUEWS_WithinGridWaterDist</t>
  </si>
  <si>
    <t>Code that links to fraction of water that flows from Water surfaces to surfaces in columns 2-10 of SUEWS_WithinGridWaterDist</t>
  </si>
  <si>
    <t>Code for Paved, Bldgs, BSoil surfaces</t>
  </si>
  <si>
    <t>StateLimit</t>
  </si>
  <si>
    <t>Maximum amount of water in the surface state for this surface</t>
  </si>
  <si>
    <t>Snow clearing, water use (not used)</t>
  </si>
  <si>
    <t>For EveTr, DecTr or Grass surface</t>
  </si>
  <si>
    <t>[h]</t>
  </si>
  <si>
    <t>Fr_Bldgs</t>
  </si>
  <si>
    <t>H_Bldgs</t>
  </si>
  <si>
    <t>FAI_Bldgs</t>
  </si>
  <si>
    <t>Code_Bldgs</t>
  </si>
  <si>
    <t>Code for Bldgs surface characteristics</t>
  </si>
  <si>
    <t>WithinGridBldgsCode</t>
  </si>
  <si>
    <t>Bldgs</t>
  </si>
  <si>
    <t>ToBldgs</t>
  </si>
  <si>
    <t>London</t>
  </si>
  <si>
    <t>Bsoil (not used)</t>
  </si>
  <si>
    <t>Default</t>
  </si>
  <si>
    <t>(assume no irrigation at the moment)</t>
  </si>
  <si>
    <t>Example</t>
  </si>
  <si>
    <t>Temperature limit when precipitation occurs as snow</t>
  </si>
  <si>
    <t>Vs87</t>
  </si>
  <si>
    <t>Thetford Forest</t>
  </si>
  <si>
    <t>Stewart (1988)</t>
  </si>
  <si>
    <t>Threshold for wet evaporation limit</t>
  </si>
  <si>
    <t>WetThreshold</t>
  </si>
  <si>
    <t>New coefficients - Use with gsChoice = 2 (HCW 18 Jun 2015)</t>
  </si>
  <si>
    <t>Albedo of this surface (maximum leaf-on summertime value)</t>
  </si>
  <si>
    <t>Albedo of this surface (minimum leaf-off wintertime value)</t>
  </si>
  <si>
    <t>Albedo of this surface (this value is used)</t>
  </si>
  <si>
    <t>Albedo of this surface (not currentlyused)</t>
  </si>
  <si>
    <t>AlbedoMin (not currently used)</t>
  </si>
  <si>
    <t>BarkingandDagenham</t>
  </si>
  <si>
    <t>Barnet</t>
  </si>
  <si>
    <t>Bexley</t>
  </si>
  <si>
    <t>Brent</t>
  </si>
  <si>
    <t>Bromley</t>
  </si>
  <si>
    <t>Camden</t>
  </si>
  <si>
    <t>CityofLondon</t>
  </si>
  <si>
    <t>Croydon</t>
  </si>
  <si>
    <t>Ealing</t>
  </si>
  <si>
    <t>Enfield</t>
  </si>
  <si>
    <t>Greenwich</t>
  </si>
  <si>
    <t>Hackney</t>
  </si>
  <si>
    <t>HammersmithandFulham</t>
  </si>
  <si>
    <t>Haringey</t>
  </si>
  <si>
    <t>Harrow</t>
  </si>
  <si>
    <t>Havering</t>
  </si>
  <si>
    <t>Hillingdon</t>
  </si>
  <si>
    <t>Hounslow</t>
  </si>
  <si>
    <t>Islington</t>
  </si>
  <si>
    <t>KensingtonandChelsea</t>
  </si>
  <si>
    <t>KingstonuponThames</t>
  </si>
  <si>
    <t>Lambeth</t>
  </si>
  <si>
    <t>Lewisham</t>
  </si>
  <si>
    <t>Merton</t>
  </si>
  <si>
    <t>Newham</t>
  </si>
  <si>
    <t>Redbridge</t>
  </si>
  <si>
    <t>RichmonduponThames</t>
  </si>
  <si>
    <t>Southwark</t>
  </si>
  <si>
    <t>Sutton</t>
  </si>
  <si>
    <t>TowerHamlets</t>
  </si>
  <si>
    <t>WalthamForest</t>
  </si>
  <si>
    <t>Wandsworth</t>
  </si>
  <si>
    <t>Westminster</t>
  </si>
  <si>
    <t>LoBo</t>
  </si>
  <si>
    <t>Swindon (below Paved)</t>
  </si>
  <si>
    <t>Swindon (below Built)</t>
  </si>
  <si>
    <t>Swindon (below others)</t>
  </si>
  <si>
    <t xml:space="preserve">! </t>
  </si>
  <si>
    <t>BSoil</t>
  </si>
  <si>
    <t>cp</t>
    <phoneticPr fontId="19" type="noConversion"/>
  </si>
  <si>
    <t>kk</t>
    <phoneticPr fontId="19" type="noConversion"/>
  </si>
  <si>
    <t>ch</t>
    <phoneticPr fontId="19" type="noConversion"/>
  </si>
  <si>
    <t>thick1</t>
  </si>
  <si>
    <t>k1</t>
  </si>
  <si>
    <t>rhoCp1</t>
  </si>
  <si>
    <t>thick2</t>
  </si>
  <si>
    <t>k2</t>
  </si>
  <si>
    <t>rhoCp2</t>
  </si>
  <si>
    <t>thick3</t>
  </si>
  <si>
    <t>k3</t>
  </si>
  <si>
    <t>rhoCp3</t>
  </si>
  <si>
    <t>thick4</t>
  </si>
  <si>
    <t>k4</t>
  </si>
  <si>
    <t>rhoCp4</t>
  </si>
  <si>
    <t>thick5</t>
  </si>
  <si>
    <t>k5</t>
  </si>
  <si>
    <t>rhoCp5</t>
  </si>
  <si>
    <t>nroom</t>
  </si>
  <si>
    <t>alb_ibld</t>
  </si>
  <si>
    <t>em_ibld</t>
  </si>
  <si>
    <t>CH_iwall</t>
  </si>
  <si>
    <t>CH_iroof</t>
  </si>
  <si>
    <t>!building</t>
  </si>
  <si>
    <t>Łódź</t>
  </si>
  <si>
    <t>Offerle et al. (2005)</t>
  </si>
  <si>
    <t>Barbican, London</t>
  </si>
  <si>
    <t>URBANFLUXES D5.1 report</t>
  </si>
  <si>
    <t>!ground</t>
  </si>
  <si>
    <t>Thickness (layer 1)</t>
  </si>
  <si>
    <t>Thermal conductivity ( layer 1)</t>
  </si>
  <si>
    <t>Volumetric heat capacity (layer 1)</t>
  </si>
  <si>
    <t>Thickness (layer 2)</t>
  </si>
  <si>
    <t>Thermal conductivity (layer 2)</t>
  </si>
  <si>
    <t>Volumetric heat capacity (layer 2)</t>
  </si>
  <si>
    <t>Thickness (layer 3)</t>
  </si>
  <si>
    <t>Thermal conductivity (layer 3)</t>
  </si>
  <si>
    <t>Volumetric heat capacity (layer 3)</t>
  </si>
  <si>
    <t>Thickness (layer 4)</t>
  </si>
  <si>
    <t>Thermal conductivity (layer 4)</t>
  </si>
  <si>
    <t>Volumetric heat capacity ( layer 4)</t>
  </si>
  <si>
    <t>Thickness ( layer 5)</t>
  </si>
  <si>
    <t>Thermal conductivity (layer 5)</t>
  </si>
  <si>
    <t>Volumetric heat capacity (layer 5)</t>
  </si>
  <si>
    <t>Number of rooms per floor</t>
  </si>
  <si>
    <t>albIbld</t>
  </si>
  <si>
    <t>albedo of all internal elements</t>
  </si>
  <si>
    <t>emisIbld</t>
  </si>
  <si>
    <t>emissivity of all internal elements</t>
  </si>
  <si>
    <t>bulk transfer coefficient of internal wall</t>
  </si>
  <si>
    <t>bulk transfer coefficient of internal roof</t>
  </si>
  <si>
    <t>CH_ibld</t>
  </si>
  <si>
    <t>fwall</t>
  </si>
  <si>
    <t>Building</t>
  </si>
  <si>
    <t>Ground</t>
  </si>
  <si>
    <t>for roof</t>
  </si>
  <si>
    <t>for external wall</t>
  </si>
  <si>
    <t>Notused</t>
  </si>
  <si>
    <t>for internal elements</t>
  </si>
  <si>
    <t>bulk transfer coefficient of internal building element</t>
  </si>
  <si>
    <t>Ratio of wall area per unit of plane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</si>
</sst>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0000"/>
    <numFmt numFmtId="177" formatCode="0.000"/>
  </numFmts>
  <fonts count="23" x14ac:knownFonts="1">
    <font>
      <sz val="11"/>
      <color theme="1"/>
      <name val="宋体"/>
      <family val="2"/>
      <scheme val="minor"/>
    </font>
    <font>
      <sz val="10"/>
      <color rgb="FF943634"/>
      <name val="Arial Narrow"/>
      <family val="2"/>
    </font>
    <font>
      <i/>
      <sz val="10"/>
      <color rgb="FF943634"/>
      <name val="Arial Narrow"/>
      <family val="2"/>
    </font>
    <font>
      <b/>
      <sz val="10"/>
      <color rgb="FF943634"/>
      <name val="Arial Narrow"/>
      <family val="2"/>
    </font>
    <font>
      <sz val="10"/>
      <name val="宋体"/>
      <family val="2"/>
      <scheme val="minor"/>
    </font>
    <font>
      <sz val="10"/>
      <color theme="1"/>
      <name val="宋体"/>
      <family val="2"/>
      <scheme val="minor"/>
    </font>
    <font>
      <u/>
      <sz val="10"/>
      <name val="宋体"/>
      <family val="2"/>
      <scheme val="minor"/>
    </font>
    <font>
      <b/>
      <u/>
      <sz val="10"/>
      <color theme="1"/>
      <name val="宋体"/>
      <family val="2"/>
      <scheme val="minor"/>
    </font>
    <font>
      <b/>
      <u/>
      <sz val="10"/>
      <name val="宋体"/>
      <family val="2"/>
      <scheme val="minor"/>
    </font>
    <font>
      <sz val="10"/>
      <name val="Times New Roman"/>
      <family val="1"/>
    </font>
    <font>
      <sz val="10"/>
      <name val="OpenSymbol"/>
    </font>
    <font>
      <vertAlign val="superscript"/>
      <sz val="10"/>
      <name val="OpenSymbol"/>
    </font>
    <font>
      <sz val="10"/>
      <color rgb="FF000000"/>
      <name val="宋体"/>
      <family val="2"/>
      <scheme val="minor"/>
    </font>
    <font>
      <i/>
      <sz val="10"/>
      <color theme="1"/>
      <name val="宋体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Arial Narrow"/>
      <family val="2"/>
    </font>
    <font>
      <b/>
      <i/>
      <sz val="10"/>
      <color rgb="FF365F91"/>
      <name val="Arial Narrow"/>
      <family val="2"/>
    </font>
    <font>
      <b/>
      <sz val="10"/>
      <color rgb="FF000000"/>
      <name val="宋体"/>
      <family val="2"/>
      <scheme val="minor"/>
    </font>
    <font>
      <sz val="9"/>
      <name val="宋体"/>
      <family val="2"/>
      <scheme val="minor"/>
    </font>
    <font>
      <u/>
      <sz val="11"/>
      <color theme="10"/>
      <name val="宋体"/>
      <family val="2"/>
      <scheme val="minor"/>
    </font>
    <font>
      <u/>
      <sz val="11"/>
      <color theme="11"/>
      <name val="宋体"/>
      <family val="2"/>
      <scheme val="minor"/>
    </font>
    <font>
      <sz val="12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90">
    <xf numFmtId="0" fontId="0" fillId="0" borderId="0" xfId="0"/>
    <xf numFmtId="0" fontId="2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 wrapText="1"/>
    </xf>
    <xf numFmtId="0" fontId="4" fillId="0" borderId="0" xfId="0" applyFont="1" applyFill="1"/>
    <xf numFmtId="0" fontId="5" fillId="0" borderId="0" xfId="0" applyFont="1"/>
    <xf numFmtId="0" fontId="5" fillId="2" borderId="0" xfId="0" applyFont="1" applyFill="1"/>
    <xf numFmtId="0" fontId="4" fillId="2" borderId="0" xfId="0" applyFont="1" applyFill="1" applyBorder="1"/>
    <xf numFmtId="0" fontId="5" fillId="3" borderId="0" xfId="0" applyFont="1" applyFill="1"/>
    <xf numFmtId="0" fontId="4" fillId="3" borderId="0" xfId="0" applyFont="1" applyFill="1" applyBorder="1"/>
    <xf numFmtId="11" fontId="5" fillId="0" borderId="0" xfId="0" applyNumberFormat="1" applyFont="1"/>
    <xf numFmtId="0" fontId="5" fillId="0" borderId="0" xfId="0" applyFont="1" applyFill="1" applyBorder="1"/>
    <xf numFmtId="0" fontId="4" fillId="0" borderId="0" xfId="0" applyFont="1" applyFill="1" applyBorder="1"/>
    <xf numFmtId="0" fontId="4" fillId="3" borderId="0" xfId="0" applyNumberFormat="1" applyFont="1" applyFill="1" applyBorder="1"/>
    <xf numFmtId="0" fontId="6" fillId="0" borderId="0" xfId="0" applyFont="1" applyFill="1" applyBorder="1"/>
    <xf numFmtId="11" fontId="4" fillId="0" borderId="0" xfId="0" applyNumberFormat="1" applyFont="1" applyFill="1" applyBorder="1"/>
    <xf numFmtId="0" fontId="4" fillId="0" borderId="0" xfId="0" applyNumberFormat="1" applyFont="1" applyFill="1" applyBorder="1"/>
    <xf numFmtId="0" fontId="7" fillId="0" borderId="0" xfId="0" applyFont="1"/>
    <xf numFmtId="0" fontId="8" fillId="0" borderId="0" xfId="0" applyFont="1" applyFill="1" applyBorder="1"/>
    <xf numFmtId="0" fontId="4" fillId="0" borderId="0" xfId="0" applyFont="1" applyFill="1" applyAlignment="1">
      <alignment horizontal="left"/>
    </xf>
    <xf numFmtId="0" fontId="5" fillId="0" borderId="0" xfId="0" applyFont="1" applyFill="1"/>
    <xf numFmtId="11" fontId="4" fillId="0" borderId="0" xfId="0" applyNumberFormat="1" applyFont="1" applyFill="1"/>
    <xf numFmtId="0" fontId="4" fillId="0" borderId="0" xfId="0" applyNumberFormat="1" applyFont="1" applyFill="1"/>
    <xf numFmtId="0" fontId="4" fillId="3" borderId="0" xfId="0" applyFont="1" applyFill="1"/>
    <xf numFmtId="11" fontId="4" fillId="3" borderId="0" xfId="0" applyNumberFormat="1" applyFont="1" applyFill="1"/>
    <xf numFmtId="0" fontId="9" fillId="0" borderId="0" xfId="0" applyFont="1" applyFill="1" applyAlignment="1">
      <alignment horizontal="left" vertical="center" indent="1"/>
    </xf>
    <xf numFmtId="0" fontId="10" fillId="0" borderId="0" xfId="0" applyFont="1" applyFill="1" applyAlignment="1">
      <alignment horizontal="left" vertical="center" indent="8"/>
    </xf>
    <xf numFmtId="0" fontId="9" fillId="0" borderId="0" xfId="0" applyFont="1" applyFill="1" applyAlignment="1">
      <alignment vertical="center"/>
    </xf>
    <xf numFmtId="0" fontId="11" fillId="0" borderId="0" xfId="0" applyFont="1" applyFill="1" applyAlignment="1">
      <alignment horizontal="left" vertical="center" indent="8"/>
    </xf>
    <xf numFmtId="0" fontId="9" fillId="0" borderId="0" xfId="0" applyFont="1" applyFill="1"/>
    <xf numFmtId="0" fontId="5" fillId="0" borderId="0" xfId="0" applyFont="1" applyFill="1" applyBorder="1" applyAlignment="1"/>
    <xf numFmtId="0" fontId="5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5" fillId="2" borderId="0" xfId="0" applyFont="1" applyFill="1" applyBorder="1" applyAlignment="1"/>
    <xf numFmtId="176" fontId="5" fillId="2" borderId="0" xfId="0" applyNumberFormat="1" applyFont="1" applyFill="1" applyBorder="1" applyAlignment="1"/>
    <xf numFmtId="176" fontId="5" fillId="2" borderId="0" xfId="0" applyNumberFormat="1" applyFont="1" applyFill="1" applyBorder="1" applyAlignment="1">
      <alignment vertical="center"/>
    </xf>
    <xf numFmtId="176" fontId="12" fillId="2" borderId="0" xfId="0" applyNumberFormat="1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3" borderId="0" xfId="0" applyFont="1" applyFill="1" applyBorder="1" applyAlignment="1"/>
    <xf numFmtId="176" fontId="5" fillId="3" borderId="0" xfId="0" applyNumberFormat="1" applyFont="1" applyFill="1" applyBorder="1" applyAlignment="1"/>
    <xf numFmtId="176" fontId="5" fillId="3" borderId="0" xfId="0" applyNumberFormat="1" applyFont="1" applyFill="1" applyBorder="1" applyAlignment="1">
      <alignment vertical="center"/>
    </xf>
    <xf numFmtId="176" fontId="12" fillId="3" borderId="0" xfId="0" applyNumberFormat="1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5" fillId="2" borderId="0" xfId="0" applyFont="1" applyFill="1" applyBorder="1"/>
    <xf numFmtId="0" fontId="5" fillId="3" borderId="0" xfId="0" applyFont="1" applyFill="1" applyBorder="1"/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vertical="center" wrapText="1"/>
    </xf>
    <xf numFmtId="0" fontId="5" fillId="2" borderId="0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right" vertical="center"/>
    </xf>
    <xf numFmtId="17" fontId="5" fillId="0" borderId="0" xfId="0" applyNumberFormat="1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177" fontId="4" fillId="0" borderId="0" xfId="0" applyNumberFormat="1" applyFont="1" applyFill="1" applyBorder="1" applyProtection="1">
      <protection locked="0"/>
    </xf>
    <xf numFmtId="0" fontId="5" fillId="4" borderId="0" xfId="0" applyFont="1" applyFill="1"/>
    <xf numFmtId="0" fontId="4" fillId="4" borderId="0" xfId="0" applyFont="1" applyFill="1" applyBorder="1"/>
    <xf numFmtId="0" fontId="4" fillId="4" borderId="0" xfId="0" applyNumberFormat="1" applyFont="1" applyFill="1" applyBorder="1"/>
    <xf numFmtId="0" fontId="4" fillId="4" borderId="0" xfId="0" applyFont="1" applyFill="1"/>
    <xf numFmtId="11" fontId="4" fillId="4" borderId="0" xfId="0" applyNumberFormat="1" applyFont="1" applyFill="1"/>
    <xf numFmtId="0" fontId="4" fillId="2" borderId="0" xfId="0" applyFont="1" applyFill="1"/>
    <xf numFmtId="11" fontId="4" fillId="2" borderId="0" xfId="0" applyNumberFormat="1" applyFont="1" applyFill="1"/>
    <xf numFmtId="0" fontId="4" fillId="5" borderId="0" xfId="0" applyFont="1" applyFill="1" applyBorder="1"/>
    <xf numFmtId="0" fontId="4" fillId="5" borderId="0" xfId="0" applyNumberFormat="1" applyFont="1" applyFill="1" applyBorder="1"/>
    <xf numFmtId="0" fontId="5" fillId="4" borderId="0" xfId="0" applyFont="1" applyFill="1" applyBorder="1" applyAlignment="1"/>
    <xf numFmtId="176" fontId="5" fillId="4" borderId="0" xfId="0" applyNumberFormat="1" applyFont="1" applyFill="1" applyBorder="1" applyAlignment="1"/>
    <xf numFmtId="176" fontId="5" fillId="4" borderId="0" xfId="0" applyNumberFormat="1" applyFont="1" applyFill="1" applyBorder="1" applyAlignment="1">
      <alignment vertical="center"/>
    </xf>
    <xf numFmtId="176" fontId="12" fillId="4" borderId="0" xfId="0" applyNumberFormat="1" applyFont="1" applyFill="1" applyBorder="1" applyAlignment="1">
      <alignment vertical="center"/>
    </xf>
    <xf numFmtId="0" fontId="5" fillId="4" borderId="0" xfId="0" applyFont="1" applyFill="1" applyBorder="1" applyAlignment="1">
      <alignment vertical="center"/>
    </xf>
    <xf numFmtId="0" fontId="5" fillId="4" borderId="0" xfId="0" applyFont="1" applyFill="1" applyBorder="1"/>
    <xf numFmtId="0" fontId="5" fillId="4" borderId="0" xfId="0" applyFont="1" applyFill="1" applyBorder="1" applyAlignment="1">
      <alignment vertical="center" wrapText="1"/>
    </xf>
    <xf numFmtId="0" fontId="12" fillId="4" borderId="0" xfId="0" applyFont="1" applyFill="1" applyBorder="1" applyAlignment="1">
      <alignment horizontal="left" vertical="center" wrapText="1"/>
    </xf>
    <xf numFmtId="0" fontId="12" fillId="4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left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22" fillId="0" borderId="0" xfId="0" applyFont="1" applyFill="1"/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D119"/>
  <sheetViews>
    <sheetView topLeftCell="N1" workbookViewId="0">
      <selection activeCell="E31" sqref="E31"/>
    </sheetView>
  </sheetViews>
  <sheetFormatPr baseColWidth="10" defaultColWidth="11.5" defaultRowHeight="14" x14ac:dyDescent="0.15"/>
  <cols>
    <col min="1" max="80" width="11.5" style="5"/>
    <col min="81" max="81" width="3.33203125" style="5" customWidth="1"/>
    <col min="82" max="16384" width="11.5" style="5"/>
  </cols>
  <sheetData>
    <row r="1" spans="1:82" x14ac:dyDescent="0.1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</row>
    <row r="2" spans="1:82" x14ac:dyDescent="0.15">
      <c r="A2" s="5" t="s">
        <v>33</v>
      </c>
      <c r="B2" s="5" t="s">
        <v>35</v>
      </c>
      <c r="C2" s="5" t="s">
        <v>94</v>
      </c>
      <c r="D2" s="5" t="s">
        <v>95</v>
      </c>
      <c r="E2" s="5" t="s">
        <v>93</v>
      </c>
      <c r="F2" s="5" t="s">
        <v>38</v>
      </c>
      <c r="G2" s="5" t="s">
        <v>41</v>
      </c>
      <c r="H2" s="5" t="s">
        <v>36</v>
      </c>
      <c r="I2" s="5" t="s">
        <v>96</v>
      </c>
      <c r="J2" s="5" t="s">
        <v>69</v>
      </c>
      <c r="K2" s="5" t="s">
        <v>68</v>
      </c>
      <c r="L2" s="5" t="s">
        <v>416</v>
      </c>
      <c r="M2" s="5" t="s">
        <v>504</v>
      </c>
      <c r="N2" s="5" t="s">
        <v>417</v>
      </c>
      <c r="O2" s="5" t="s">
        <v>418</v>
      </c>
      <c r="P2" s="5" t="s">
        <v>419</v>
      </c>
      <c r="Q2" s="5" t="s">
        <v>420</v>
      </c>
      <c r="R2" s="5" t="s">
        <v>421</v>
      </c>
      <c r="S2" s="5" t="s">
        <v>98</v>
      </c>
      <c r="T2" s="5" t="s">
        <v>99</v>
      </c>
      <c r="U2" s="5" t="s">
        <v>100</v>
      </c>
      <c r="V2" s="5" t="s">
        <v>505</v>
      </c>
      <c r="W2" s="5" t="s">
        <v>422</v>
      </c>
      <c r="X2" s="5" t="s">
        <v>424</v>
      </c>
      <c r="Y2" s="5" t="s">
        <v>181</v>
      </c>
      <c r="Z2" s="5" t="s">
        <v>180</v>
      </c>
      <c r="AA2" s="5" t="s">
        <v>506</v>
      </c>
      <c r="AB2" s="5" t="s">
        <v>426</v>
      </c>
      <c r="AC2" s="5" t="s">
        <v>428</v>
      </c>
      <c r="AD2" s="5" t="s">
        <v>430</v>
      </c>
      <c r="AE2" s="5" t="s">
        <v>433</v>
      </c>
      <c r="AF2" s="5" t="s">
        <v>105</v>
      </c>
      <c r="AG2" s="5" t="s">
        <v>507</v>
      </c>
      <c r="AH2" s="5" t="s">
        <v>104</v>
      </c>
      <c r="AI2" s="5" t="s">
        <v>103</v>
      </c>
      <c r="AJ2" s="5" t="s">
        <v>102</v>
      </c>
      <c r="AK2" s="5" t="s">
        <v>101</v>
      </c>
      <c r="AL2" s="5" t="s">
        <v>106</v>
      </c>
      <c r="AM2" s="5" t="s">
        <v>134</v>
      </c>
      <c r="AN2" s="5" t="s">
        <v>136</v>
      </c>
      <c r="AO2" s="5" t="s">
        <v>135</v>
      </c>
      <c r="AP2" s="5" t="s">
        <v>137</v>
      </c>
      <c r="AQ2" s="5" t="s">
        <v>138</v>
      </c>
      <c r="AR2" s="5" t="s">
        <v>71</v>
      </c>
      <c r="AS2" s="5" t="s">
        <v>453</v>
      </c>
      <c r="AT2" s="5" t="s">
        <v>454</v>
      </c>
      <c r="AU2" s="5" t="s">
        <v>80</v>
      </c>
      <c r="AV2" s="5" t="s">
        <v>455</v>
      </c>
      <c r="AW2" s="5" t="s">
        <v>456</v>
      </c>
      <c r="AX2" s="5" t="s">
        <v>139</v>
      </c>
      <c r="AY2" s="5" t="s">
        <v>457</v>
      </c>
      <c r="AZ2" s="5" t="s">
        <v>458</v>
      </c>
      <c r="BA2" s="5" t="s">
        <v>459</v>
      </c>
      <c r="BB2" s="5" t="s">
        <v>460</v>
      </c>
      <c r="BC2" s="5" t="s">
        <v>39</v>
      </c>
      <c r="BD2" s="5" t="s">
        <v>40</v>
      </c>
      <c r="BE2" s="5" t="s">
        <v>42</v>
      </c>
      <c r="BF2" s="5" t="s">
        <v>435</v>
      </c>
      <c r="BG2" s="5" t="s">
        <v>436</v>
      </c>
      <c r="BH2" s="5" t="s">
        <v>437</v>
      </c>
      <c r="BI2" s="5" t="s">
        <v>438</v>
      </c>
      <c r="BJ2" s="5" t="s">
        <v>439</v>
      </c>
      <c r="BK2" s="5" t="s">
        <v>440</v>
      </c>
      <c r="BL2" s="5" t="s">
        <v>441</v>
      </c>
      <c r="BM2" s="5" t="s">
        <v>442</v>
      </c>
      <c r="BN2" s="5" t="s">
        <v>443</v>
      </c>
      <c r="BO2" s="5" t="s">
        <v>444</v>
      </c>
      <c r="BP2" s="5" t="s">
        <v>445</v>
      </c>
      <c r="BQ2" s="5" t="s">
        <v>446</v>
      </c>
      <c r="BR2" s="5" t="s">
        <v>447</v>
      </c>
      <c r="BS2" s="5" t="s">
        <v>448</v>
      </c>
      <c r="BT2" s="5" t="s">
        <v>449</v>
      </c>
      <c r="BU2" s="5" t="s">
        <v>450</v>
      </c>
      <c r="BV2" s="5" t="s">
        <v>169</v>
      </c>
      <c r="BW2" s="5" t="s">
        <v>509</v>
      </c>
      <c r="BX2" s="5" t="s">
        <v>90</v>
      </c>
      <c r="BY2" s="5" t="s">
        <v>91</v>
      </c>
      <c r="BZ2" s="5" t="s">
        <v>89</v>
      </c>
      <c r="CA2" s="5" t="s">
        <v>170</v>
      </c>
      <c r="CB2" s="5" t="s">
        <v>92</v>
      </c>
    </row>
    <row r="3" spans="1:82" x14ac:dyDescent="0.15">
      <c r="A3" s="6">
        <v>1</v>
      </c>
      <c r="B3" s="5">
        <v>2012</v>
      </c>
      <c r="C3" s="5">
        <v>85</v>
      </c>
      <c r="D3" s="5">
        <v>302</v>
      </c>
      <c r="E3" s="21">
        <v>51.51</v>
      </c>
      <c r="F3" s="5">
        <v>0.13</v>
      </c>
      <c r="G3">
        <v>3716.0079999999998</v>
      </c>
      <c r="H3" s="5">
        <v>8</v>
      </c>
      <c r="I3" s="5">
        <v>1</v>
      </c>
      <c r="J3" s="5">
        <v>0</v>
      </c>
      <c r="K3" s="5">
        <v>0</v>
      </c>
      <c r="L3">
        <v>0.21740000000000001</v>
      </c>
      <c r="M3">
        <v>0.15240000000000001</v>
      </c>
      <c r="N3">
        <v>3.6299999999999999E-2</v>
      </c>
      <c r="O3">
        <v>0.14499999999999999</v>
      </c>
      <c r="P3">
        <v>0.3024</v>
      </c>
      <c r="Q3">
        <v>0.1198</v>
      </c>
      <c r="R3">
        <v>2.6700000000000002E-2</v>
      </c>
      <c r="S3" s="5">
        <v>0</v>
      </c>
      <c r="T3" s="5">
        <v>0</v>
      </c>
      <c r="U3" s="5">
        <v>0</v>
      </c>
      <c r="V3" s="5">
        <v>10</v>
      </c>
      <c r="W3" s="5">
        <v>8</v>
      </c>
      <c r="X3" s="5">
        <v>8</v>
      </c>
      <c r="Y3" s="5">
        <v>-999</v>
      </c>
      <c r="Z3" s="5">
        <v>-999</v>
      </c>
      <c r="AA3" s="5">
        <v>-999</v>
      </c>
      <c r="AB3" s="5">
        <v>-999</v>
      </c>
      <c r="AC3" s="5">
        <v>-999</v>
      </c>
      <c r="AD3" s="67">
        <v>45.510397178908121</v>
      </c>
      <c r="AE3" s="67">
        <v>50.029763122146136</v>
      </c>
      <c r="AF3" s="5">
        <v>33661</v>
      </c>
      <c r="AG3" s="5">
        <v>33662</v>
      </c>
      <c r="AH3" s="5">
        <v>33661</v>
      </c>
      <c r="AI3" s="5">
        <v>33662</v>
      </c>
      <c r="AJ3" s="5">
        <v>33663</v>
      </c>
      <c r="AK3" s="5">
        <v>33663</v>
      </c>
      <c r="AL3" s="5">
        <v>33661</v>
      </c>
      <c r="AM3" s="5">
        <v>0.25</v>
      </c>
      <c r="AN3" s="5">
        <v>1</v>
      </c>
      <c r="AO3" s="5">
        <v>10</v>
      </c>
      <c r="AP3" s="5">
        <v>1</v>
      </c>
      <c r="AQ3" s="5">
        <v>100</v>
      </c>
      <c r="AR3" s="5">
        <v>33660</v>
      </c>
      <c r="AS3" s="5">
        <v>99999</v>
      </c>
      <c r="AT3" s="5">
        <v>99999</v>
      </c>
      <c r="AU3" s="5">
        <v>33661</v>
      </c>
      <c r="AV3" s="5">
        <v>33661</v>
      </c>
      <c r="AW3" s="5">
        <v>33662</v>
      </c>
      <c r="AX3" s="5">
        <v>99999</v>
      </c>
      <c r="AY3" s="5">
        <v>99999</v>
      </c>
      <c r="AZ3" s="5">
        <v>99999</v>
      </c>
      <c r="BA3" s="5">
        <v>99999</v>
      </c>
      <c r="BB3" s="5">
        <v>99999</v>
      </c>
      <c r="BC3" s="5">
        <v>0</v>
      </c>
      <c r="BD3" s="5">
        <v>0</v>
      </c>
      <c r="BE3" s="5">
        <v>100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5">
        <v>0</v>
      </c>
      <c r="BR3" s="5">
        <v>0</v>
      </c>
      <c r="BS3" s="5">
        <v>0</v>
      </c>
      <c r="BT3" s="5">
        <v>0</v>
      </c>
      <c r="BU3" s="5">
        <v>0</v>
      </c>
      <c r="BV3" s="21">
        <v>33661</v>
      </c>
      <c r="BW3" s="5">
        <v>33662</v>
      </c>
      <c r="BX3" s="21">
        <v>33663</v>
      </c>
      <c r="BY3" s="5">
        <v>33664</v>
      </c>
      <c r="BZ3" s="21">
        <v>33665</v>
      </c>
      <c r="CA3" s="5">
        <v>33666</v>
      </c>
      <c r="CB3" s="21">
        <v>33667</v>
      </c>
      <c r="CC3" s="6" t="s">
        <v>12</v>
      </c>
      <c r="CD3" s="6" t="s">
        <v>529</v>
      </c>
    </row>
    <row r="4" spans="1:82" x14ac:dyDescent="0.15">
      <c r="A4" s="6">
        <v>2</v>
      </c>
      <c r="B4" s="5">
        <v>2012</v>
      </c>
      <c r="C4" s="5">
        <v>85</v>
      </c>
      <c r="D4" s="5">
        <v>302</v>
      </c>
      <c r="E4" s="21">
        <v>51.51</v>
      </c>
      <c r="F4" s="5">
        <v>0.13</v>
      </c>
      <c r="G4">
        <v>8664.2669999999998</v>
      </c>
      <c r="H4" s="5">
        <v>8</v>
      </c>
      <c r="I4" s="5">
        <v>1</v>
      </c>
      <c r="J4" s="5">
        <v>0</v>
      </c>
      <c r="K4" s="5">
        <v>0</v>
      </c>
      <c r="L4">
        <v>0.21510000000000001</v>
      </c>
      <c r="M4">
        <v>0.126</v>
      </c>
      <c r="N4">
        <v>4.4699999999999997E-2</v>
      </c>
      <c r="O4">
        <v>0.1787</v>
      </c>
      <c r="P4">
        <v>0.37240000000000001</v>
      </c>
      <c r="Q4">
        <v>5.8700000000000002E-2</v>
      </c>
      <c r="R4">
        <v>4.4000000000000003E-3</v>
      </c>
      <c r="S4" s="5">
        <v>0</v>
      </c>
      <c r="T4" s="5">
        <v>0</v>
      </c>
      <c r="U4" s="5">
        <v>0</v>
      </c>
      <c r="V4" s="5">
        <v>10</v>
      </c>
      <c r="W4" s="5">
        <v>8</v>
      </c>
      <c r="X4" s="5">
        <v>8</v>
      </c>
      <c r="Y4" s="5">
        <v>-999</v>
      </c>
      <c r="Z4" s="5">
        <v>-999</v>
      </c>
      <c r="AA4" s="5">
        <v>-999</v>
      </c>
      <c r="AB4" s="5">
        <v>-999</v>
      </c>
      <c r="AC4" s="5">
        <v>-999</v>
      </c>
      <c r="AD4" s="67">
        <v>36.297588705426556</v>
      </c>
      <c r="AE4" s="67">
        <v>41.132850591977373</v>
      </c>
      <c r="AF4" s="5">
        <v>33661</v>
      </c>
      <c r="AG4" s="5">
        <v>33662</v>
      </c>
      <c r="AH4" s="5">
        <v>33661</v>
      </c>
      <c r="AI4" s="5">
        <v>33662</v>
      </c>
      <c r="AJ4" s="5">
        <v>33663</v>
      </c>
      <c r="AK4" s="5">
        <v>33663</v>
      </c>
      <c r="AL4" s="5">
        <v>33661</v>
      </c>
      <c r="AM4" s="5">
        <v>0.25</v>
      </c>
      <c r="AN4" s="5">
        <v>1</v>
      </c>
      <c r="AO4" s="5">
        <v>10</v>
      </c>
      <c r="AP4" s="5">
        <v>1</v>
      </c>
      <c r="AQ4" s="5">
        <v>100</v>
      </c>
      <c r="AR4" s="5">
        <v>33660</v>
      </c>
      <c r="AS4" s="5">
        <v>99999</v>
      </c>
      <c r="AT4" s="5">
        <v>99999</v>
      </c>
      <c r="AU4" s="5">
        <v>33661</v>
      </c>
      <c r="AV4" s="5">
        <v>33661</v>
      </c>
      <c r="AW4" s="5">
        <v>33662</v>
      </c>
      <c r="AX4" s="5">
        <v>99999</v>
      </c>
      <c r="AY4" s="5">
        <v>99999</v>
      </c>
      <c r="AZ4" s="5">
        <v>99999</v>
      </c>
      <c r="BA4" s="5">
        <v>99999</v>
      </c>
      <c r="BB4" s="5">
        <v>99999</v>
      </c>
      <c r="BC4" s="5">
        <v>0</v>
      </c>
      <c r="BD4" s="5">
        <v>0</v>
      </c>
      <c r="BE4" s="5">
        <v>100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5">
        <v>0</v>
      </c>
      <c r="BS4" s="5">
        <v>0</v>
      </c>
      <c r="BT4" s="5">
        <v>0</v>
      </c>
      <c r="BU4" s="5">
        <v>0</v>
      </c>
      <c r="BV4" s="21">
        <v>33661</v>
      </c>
      <c r="BW4" s="5">
        <v>33662</v>
      </c>
      <c r="BX4" s="21">
        <v>33663</v>
      </c>
      <c r="BY4" s="5">
        <v>33664</v>
      </c>
      <c r="BZ4" s="21">
        <v>33665</v>
      </c>
      <c r="CA4" s="5">
        <v>33666</v>
      </c>
      <c r="CB4" s="21">
        <v>33667</v>
      </c>
      <c r="CC4" s="6" t="s">
        <v>12</v>
      </c>
      <c r="CD4" s="6" t="s">
        <v>530</v>
      </c>
    </row>
    <row r="5" spans="1:82" x14ac:dyDescent="0.15">
      <c r="A5" s="6">
        <v>3</v>
      </c>
      <c r="B5" s="5">
        <v>2012</v>
      </c>
      <c r="C5" s="5">
        <v>85</v>
      </c>
      <c r="D5" s="5">
        <v>302</v>
      </c>
      <c r="E5" s="21">
        <v>51.51</v>
      </c>
      <c r="F5" s="5">
        <v>0.13</v>
      </c>
      <c r="G5">
        <v>7115.6559999999999</v>
      </c>
      <c r="H5" s="5">
        <v>8</v>
      </c>
      <c r="I5" s="5">
        <v>1</v>
      </c>
      <c r="J5" s="5">
        <v>0</v>
      </c>
      <c r="K5" s="5">
        <v>0</v>
      </c>
      <c r="L5">
        <v>0.1767</v>
      </c>
      <c r="M5">
        <v>0.1168</v>
      </c>
      <c r="N5">
        <v>3.6499999999999998E-2</v>
      </c>
      <c r="O5">
        <v>0.14599999999999999</v>
      </c>
      <c r="P5">
        <v>0.2979</v>
      </c>
      <c r="Q5">
        <v>7.1099999999999997E-2</v>
      </c>
      <c r="R5">
        <v>0.15509999999999999</v>
      </c>
      <c r="S5" s="5">
        <v>0</v>
      </c>
      <c r="T5" s="5">
        <v>0</v>
      </c>
      <c r="U5" s="5">
        <v>0</v>
      </c>
      <c r="V5" s="5">
        <v>10</v>
      </c>
      <c r="W5" s="5">
        <v>8</v>
      </c>
      <c r="X5" s="5">
        <v>8</v>
      </c>
      <c r="Y5" s="5">
        <v>-999</v>
      </c>
      <c r="Z5" s="5">
        <v>-999</v>
      </c>
      <c r="AA5" s="5">
        <v>-999</v>
      </c>
      <c r="AB5" s="5">
        <v>-999</v>
      </c>
      <c r="AC5" s="5">
        <v>-999</v>
      </c>
      <c r="AD5" s="67">
        <v>27.617833127402449</v>
      </c>
      <c r="AE5" s="67">
        <v>32.603740259506644</v>
      </c>
      <c r="AF5" s="5">
        <v>33661</v>
      </c>
      <c r="AG5" s="5">
        <v>33662</v>
      </c>
      <c r="AH5" s="5">
        <v>33661</v>
      </c>
      <c r="AI5" s="5">
        <v>33662</v>
      </c>
      <c r="AJ5" s="5">
        <v>33663</v>
      </c>
      <c r="AK5" s="5">
        <v>33663</v>
      </c>
      <c r="AL5" s="5">
        <v>33661</v>
      </c>
      <c r="AM5" s="5">
        <v>0.25</v>
      </c>
      <c r="AN5" s="5">
        <v>1</v>
      </c>
      <c r="AO5" s="5">
        <v>10</v>
      </c>
      <c r="AP5" s="5">
        <v>1</v>
      </c>
      <c r="AQ5" s="5">
        <v>100</v>
      </c>
      <c r="AR5" s="5">
        <v>33660</v>
      </c>
      <c r="AS5" s="5">
        <v>99999</v>
      </c>
      <c r="AT5" s="5">
        <v>99999</v>
      </c>
      <c r="AU5" s="5">
        <v>33661</v>
      </c>
      <c r="AV5" s="5">
        <v>33661</v>
      </c>
      <c r="AW5" s="5">
        <v>33662</v>
      </c>
      <c r="AX5" s="5">
        <v>99999</v>
      </c>
      <c r="AY5" s="5">
        <v>99999</v>
      </c>
      <c r="AZ5" s="5">
        <v>99999</v>
      </c>
      <c r="BA5" s="5">
        <v>99999</v>
      </c>
      <c r="BB5" s="5">
        <v>99999</v>
      </c>
      <c r="BC5" s="5">
        <v>0</v>
      </c>
      <c r="BD5" s="5">
        <v>0</v>
      </c>
      <c r="BE5" s="5">
        <v>100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  <c r="BV5" s="21">
        <v>33661</v>
      </c>
      <c r="BW5" s="5">
        <v>33662</v>
      </c>
      <c r="BX5" s="21">
        <v>33663</v>
      </c>
      <c r="BY5" s="5">
        <v>33664</v>
      </c>
      <c r="BZ5" s="21">
        <v>33665</v>
      </c>
      <c r="CA5" s="5">
        <v>33666</v>
      </c>
      <c r="CB5" s="21">
        <v>33667</v>
      </c>
      <c r="CC5" s="6" t="s">
        <v>12</v>
      </c>
      <c r="CD5" s="6" t="s">
        <v>531</v>
      </c>
    </row>
    <row r="6" spans="1:82" x14ac:dyDescent="0.15">
      <c r="A6" s="6">
        <v>4</v>
      </c>
      <c r="B6" s="5">
        <v>2012</v>
      </c>
      <c r="C6" s="5">
        <v>85</v>
      </c>
      <c r="D6" s="5">
        <v>302</v>
      </c>
      <c r="E6" s="21">
        <v>51.51</v>
      </c>
      <c r="F6" s="5">
        <v>0.13</v>
      </c>
      <c r="G6">
        <v>4331.473</v>
      </c>
      <c r="H6" s="5">
        <v>8</v>
      </c>
      <c r="I6" s="5">
        <v>1</v>
      </c>
      <c r="J6" s="5">
        <v>0</v>
      </c>
      <c r="K6" s="5">
        <v>0</v>
      </c>
      <c r="L6">
        <v>0.27529999999999999</v>
      </c>
      <c r="M6">
        <v>0.19969999999999999</v>
      </c>
      <c r="N6">
        <v>3.3300000000000003E-2</v>
      </c>
      <c r="O6">
        <v>0.1331</v>
      </c>
      <c r="P6">
        <v>0.25019999999999998</v>
      </c>
      <c r="Q6">
        <v>9.5500000000000002E-2</v>
      </c>
      <c r="R6">
        <v>1.2800000000000001E-2</v>
      </c>
      <c r="S6" s="5">
        <v>0</v>
      </c>
      <c r="T6" s="5">
        <v>0</v>
      </c>
      <c r="U6" s="5">
        <v>0</v>
      </c>
      <c r="V6" s="5">
        <v>10</v>
      </c>
      <c r="W6" s="5">
        <v>8</v>
      </c>
      <c r="X6" s="5">
        <v>8</v>
      </c>
      <c r="Y6" s="5">
        <v>-999</v>
      </c>
      <c r="Z6" s="5">
        <v>-999</v>
      </c>
      <c r="AA6" s="5">
        <v>-999</v>
      </c>
      <c r="AB6" s="5">
        <v>-999</v>
      </c>
      <c r="AC6" s="5">
        <v>-999</v>
      </c>
      <c r="AD6" s="67">
        <v>64.383178655390438</v>
      </c>
      <c r="AE6" s="67">
        <v>71.849691779216911</v>
      </c>
      <c r="AF6" s="5">
        <v>33661</v>
      </c>
      <c r="AG6" s="5">
        <v>33662</v>
      </c>
      <c r="AH6" s="5">
        <v>33661</v>
      </c>
      <c r="AI6" s="5">
        <v>33662</v>
      </c>
      <c r="AJ6" s="5">
        <v>33663</v>
      </c>
      <c r="AK6" s="5">
        <v>33663</v>
      </c>
      <c r="AL6" s="5">
        <v>33661</v>
      </c>
      <c r="AM6" s="5">
        <v>0.25</v>
      </c>
      <c r="AN6" s="5">
        <v>1</v>
      </c>
      <c r="AO6" s="5">
        <v>10</v>
      </c>
      <c r="AP6" s="5">
        <v>1</v>
      </c>
      <c r="AQ6" s="5">
        <v>100</v>
      </c>
      <c r="AR6" s="5">
        <v>33660</v>
      </c>
      <c r="AS6" s="5">
        <v>99999</v>
      </c>
      <c r="AT6" s="5">
        <v>99999</v>
      </c>
      <c r="AU6" s="5">
        <v>33661</v>
      </c>
      <c r="AV6" s="5">
        <v>33661</v>
      </c>
      <c r="AW6" s="5">
        <v>33662</v>
      </c>
      <c r="AX6" s="5">
        <v>99999</v>
      </c>
      <c r="AY6" s="5">
        <v>99999</v>
      </c>
      <c r="AZ6" s="5">
        <v>99999</v>
      </c>
      <c r="BA6" s="5">
        <v>99999</v>
      </c>
      <c r="BB6" s="5">
        <v>99999</v>
      </c>
      <c r="BC6" s="5">
        <v>0</v>
      </c>
      <c r="BD6" s="5">
        <v>0</v>
      </c>
      <c r="BE6" s="5">
        <v>100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">
        <v>0</v>
      </c>
      <c r="BS6" s="5">
        <v>0</v>
      </c>
      <c r="BT6" s="5">
        <v>0</v>
      </c>
      <c r="BU6" s="5">
        <v>0</v>
      </c>
      <c r="BV6" s="21">
        <v>33661</v>
      </c>
      <c r="BW6" s="5">
        <v>33662</v>
      </c>
      <c r="BX6" s="21">
        <v>33663</v>
      </c>
      <c r="BY6" s="5">
        <v>33664</v>
      </c>
      <c r="BZ6" s="21">
        <v>33665</v>
      </c>
      <c r="CA6" s="5">
        <v>33666</v>
      </c>
      <c r="CB6" s="21">
        <v>33667</v>
      </c>
      <c r="CC6" s="6" t="s">
        <v>12</v>
      </c>
      <c r="CD6" s="6" t="s">
        <v>532</v>
      </c>
    </row>
    <row r="7" spans="1:82" x14ac:dyDescent="0.15">
      <c r="A7" s="6">
        <v>5</v>
      </c>
      <c r="B7" s="5">
        <v>2012</v>
      </c>
      <c r="C7" s="5">
        <v>85</v>
      </c>
      <c r="D7" s="5">
        <v>302</v>
      </c>
      <c r="E7" s="21">
        <v>51.51</v>
      </c>
      <c r="F7" s="5">
        <v>0.13</v>
      </c>
      <c r="G7">
        <v>15018.358</v>
      </c>
      <c r="H7" s="5">
        <v>8</v>
      </c>
      <c r="I7" s="5">
        <v>1</v>
      </c>
      <c r="J7" s="5">
        <v>0</v>
      </c>
      <c r="K7" s="5">
        <v>0</v>
      </c>
      <c r="L7">
        <v>0.14699999999999999</v>
      </c>
      <c r="M7">
        <v>8.1500000000000003E-2</v>
      </c>
      <c r="N7">
        <v>5.2600000000000001E-2</v>
      </c>
      <c r="O7">
        <v>0.2104</v>
      </c>
      <c r="P7">
        <v>0.46660000000000001</v>
      </c>
      <c r="Q7">
        <v>3.8899999999999997E-2</v>
      </c>
      <c r="R7">
        <v>3.0000000000000001E-3</v>
      </c>
      <c r="S7" s="5">
        <v>0</v>
      </c>
      <c r="T7" s="5">
        <v>0</v>
      </c>
      <c r="U7" s="5">
        <v>0</v>
      </c>
      <c r="V7" s="5">
        <v>10</v>
      </c>
      <c r="W7" s="5">
        <v>8</v>
      </c>
      <c r="X7" s="5">
        <v>8</v>
      </c>
      <c r="Y7" s="5">
        <v>-999</v>
      </c>
      <c r="Z7" s="5">
        <v>-999</v>
      </c>
      <c r="AA7" s="5">
        <v>-999</v>
      </c>
      <c r="AB7" s="5">
        <v>-999</v>
      </c>
      <c r="AC7" s="5">
        <v>-999</v>
      </c>
      <c r="AD7" s="67">
        <v>17.930721853880431</v>
      </c>
      <c r="AE7" s="67">
        <v>20.60092055336542</v>
      </c>
      <c r="AF7" s="5">
        <v>33661</v>
      </c>
      <c r="AG7" s="5">
        <v>33662</v>
      </c>
      <c r="AH7" s="5">
        <v>33661</v>
      </c>
      <c r="AI7" s="5">
        <v>33662</v>
      </c>
      <c r="AJ7" s="5">
        <v>33663</v>
      </c>
      <c r="AK7" s="5">
        <v>33663</v>
      </c>
      <c r="AL7" s="5">
        <v>33661</v>
      </c>
      <c r="AM7" s="5">
        <v>0.25</v>
      </c>
      <c r="AN7" s="5">
        <v>1</v>
      </c>
      <c r="AO7" s="5">
        <v>10</v>
      </c>
      <c r="AP7" s="5">
        <v>1</v>
      </c>
      <c r="AQ7" s="5">
        <v>100</v>
      </c>
      <c r="AR7" s="5">
        <v>33660</v>
      </c>
      <c r="AS7" s="5">
        <v>99999</v>
      </c>
      <c r="AT7" s="5">
        <v>99999</v>
      </c>
      <c r="AU7" s="5">
        <v>33661</v>
      </c>
      <c r="AV7" s="5">
        <v>33661</v>
      </c>
      <c r="AW7" s="5">
        <v>33662</v>
      </c>
      <c r="AX7" s="5">
        <v>99999</v>
      </c>
      <c r="AY7" s="5">
        <v>99999</v>
      </c>
      <c r="AZ7" s="5">
        <v>99999</v>
      </c>
      <c r="BA7" s="5">
        <v>99999</v>
      </c>
      <c r="BB7" s="5">
        <v>99999</v>
      </c>
      <c r="BC7" s="5">
        <v>0</v>
      </c>
      <c r="BD7" s="5">
        <v>0</v>
      </c>
      <c r="BE7" s="5">
        <v>100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">
        <v>0</v>
      </c>
      <c r="BS7" s="5">
        <v>0</v>
      </c>
      <c r="BT7" s="5">
        <v>0</v>
      </c>
      <c r="BU7" s="5">
        <v>0</v>
      </c>
      <c r="BV7" s="21">
        <v>33661</v>
      </c>
      <c r="BW7" s="5">
        <v>33662</v>
      </c>
      <c r="BX7" s="21">
        <v>33663</v>
      </c>
      <c r="BY7" s="5">
        <v>33664</v>
      </c>
      <c r="BZ7" s="21">
        <v>33665</v>
      </c>
      <c r="CA7" s="5">
        <v>33666</v>
      </c>
      <c r="CB7" s="21">
        <v>33667</v>
      </c>
      <c r="CC7" s="6" t="s">
        <v>12</v>
      </c>
      <c r="CD7" s="6" t="s">
        <v>533</v>
      </c>
    </row>
    <row r="8" spans="1:82" x14ac:dyDescent="0.15">
      <c r="A8" s="6">
        <v>6</v>
      </c>
      <c r="B8" s="5">
        <v>2012</v>
      </c>
      <c r="C8" s="5">
        <v>85</v>
      </c>
      <c r="D8" s="5">
        <v>302</v>
      </c>
      <c r="E8" s="21">
        <v>51.51</v>
      </c>
      <c r="F8" s="5">
        <v>0.13</v>
      </c>
      <c r="G8">
        <v>2183.3589999999999</v>
      </c>
      <c r="H8" s="5">
        <v>8</v>
      </c>
      <c r="I8" s="5">
        <v>1</v>
      </c>
      <c r="J8" s="5">
        <v>0</v>
      </c>
      <c r="K8" s="5">
        <v>0</v>
      </c>
      <c r="L8">
        <v>0.28039999999999998</v>
      </c>
      <c r="M8">
        <v>0.25030000000000002</v>
      </c>
      <c r="N8">
        <v>2.8199999999999999E-2</v>
      </c>
      <c r="O8">
        <v>0.11269999999999999</v>
      </c>
      <c r="P8">
        <v>0.23100000000000001</v>
      </c>
      <c r="Q8">
        <v>8.8900000000000007E-2</v>
      </c>
      <c r="R8">
        <v>8.5000000000000006E-3</v>
      </c>
      <c r="S8" s="5">
        <v>0</v>
      </c>
      <c r="T8" s="5">
        <v>0</v>
      </c>
      <c r="U8" s="5">
        <v>0</v>
      </c>
      <c r="V8" s="5">
        <v>10</v>
      </c>
      <c r="W8" s="5">
        <v>8</v>
      </c>
      <c r="X8" s="5">
        <v>8</v>
      </c>
      <c r="Y8" s="5">
        <v>-999</v>
      </c>
      <c r="Z8" s="5">
        <v>-999</v>
      </c>
      <c r="AA8" s="5">
        <v>-999</v>
      </c>
      <c r="AB8" s="5">
        <v>-999</v>
      </c>
      <c r="AC8" s="5">
        <v>-999</v>
      </c>
      <c r="AD8" s="67">
        <v>175.92480210537983</v>
      </c>
      <c r="AE8" s="67">
        <v>100.91698158662868</v>
      </c>
      <c r="AF8" s="5">
        <v>33661</v>
      </c>
      <c r="AG8" s="5">
        <v>33662</v>
      </c>
      <c r="AH8" s="5">
        <v>33661</v>
      </c>
      <c r="AI8" s="5">
        <v>33662</v>
      </c>
      <c r="AJ8" s="5">
        <v>33663</v>
      </c>
      <c r="AK8" s="5">
        <v>33663</v>
      </c>
      <c r="AL8" s="5">
        <v>33661</v>
      </c>
      <c r="AM8" s="5">
        <v>0.25</v>
      </c>
      <c r="AN8" s="5">
        <v>1</v>
      </c>
      <c r="AO8" s="5">
        <v>10</v>
      </c>
      <c r="AP8" s="5">
        <v>1</v>
      </c>
      <c r="AQ8" s="5">
        <v>100</v>
      </c>
      <c r="AR8" s="5">
        <v>33660</v>
      </c>
      <c r="AS8" s="5">
        <v>99999</v>
      </c>
      <c r="AT8" s="5">
        <v>99999</v>
      </c>
      <c r="AU8" s="5">
        <v>33661</v>
      </c>
      <c r="AV8" s="5">
        <v>33661</v>
      </c>
      <c r="AW8" s="5">
        <v>33662</v>
      </c>
      <c r="AX8" s="5">
        <v>99999</v>
      </c>
      <c r="AY8" s="5">
        <v>99999</v>
      </c>
      <c r="AZ8" s="5">
        <v>99999</v>
      </c>
      <c r="BA8" s="5">
        <v>99999</v>
      </c>
      <c r="BB8" s="5">
        <v>99999</v>
      </c>
      <c r="BC8" s="5">
        <v>0</v>
      </c>
      <c r="BD8" s="5">
        <v>0</v>
      </c>
      <c r="BE8" s="5">
        <v>100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21">
        <v>33661</v>
      </c>
      <c r="BW8" s="5">
        <v>33662</v>
      </c>
      <c r="BX8" s="21">
        <v>33663</v>
      </c>
      <c r="BY8" s="5">
        <v>33664</v>
      </c>
      <c r="BZ8" s="21">
        <v>33665</v>
      </c>
      <c r="CA8" s="5">
        <v>33666</v>
      </c>
      <c r="CB8" s="21">
        <v>33667</v>
      </c>
      <c r="CC8" s="6" t="s">
        <v>12</v>
      </c>
      <c r="CD8" s="6" t="s">
        <v>534</v>
      </c>
    </row>
    <row r="9" spans="1:82" x14ac:dyDescent="0.15">
      <c r="A9" s="6">
        <v>7</v>
      </c>
      <c r="B9" s="5">
        <v>2012</v>
      </c>
      <c r="C9" s="5">
        <v>85</v>
      </c>
      <c r="D9" s="5">
        <v>302</v>
      </c>
      <c r="E9" s="21">
        <v>51.51</v>
      </c>
      <c r="F9" s="5">
        <v>0.13</v>
      </c>
      <c r="G9">
        <v>334.55099999999999</v>
      </c>
      <c r="H9" s="5">
        <v>8</v>
      </c>
      <c r="I9" s="5">
        <v>1</v>
      </c>
      <c r="J9" s="5">
        <v>0</v>
      </c>
      <c r="K9" s="5">
        <v>0</v>
      </c>
      <c r="L9">
        <v>0.24490000000000001</v>
      </c>
      <c r="M9">
        <v>0.45090000000000002</v>
      </c>
      <c r="N9">
        <v>3.3E-3</v>
      </c>
      <c r="O9">
        <v>1.3100000000000001E-2</v>
      </c>
      <c r="P9">
        <v>3.2800000000000003E-2</v>
      </c>
      <c r="Q9">
        <v>0.12180000000000001</v>
      </c>
      <c r="R9">
        <v>0.1333</v>
      </c>
      <c r="S9" s="5">
        <v>0</v>
      </c>
      <c r="T9" s="5">
        <v>0</v>
      </c>
      <c r="U9" s="5">
        <v>0</v>
      </c>
      <c r="V9" s="5">
        <v>10</v>
      </c>
      <c r="W9" s="5">
        <v>8</v>
      </c>
      <c r="X9" s="5">
        <v>8</v>
      </c>
      <c r="Y9" s="5">
        <v>-999</v>
      </c>
      <c r="Z9" s="5">
        <v>-999</v>
      </c>
      <c r="AA9" s="5">
        <v>-999</v>
      </c>
      <c r="AB9" s="5">
        <v>-999</v>
      </c>
      <c r="AC9" s="5">
        <v>-999</v>
      </c>
      <c r="AD9" s="67">
        <v>1076.2933005730069</v>
      </c>
      <c r="AE9" s="67">
        <v>22.044471545444491</v>
      </c>
      <c r="AF9" s="5">
        <v>33661</v>
      </c>
      <c r="AG9" s="5">
        <v>33662</v>
      </c>
      <c r="AH9" s="5">
        <v>33661</v>
      </c>
      <c r="AI9" s="5">
        <v>33662</v>
      </c>
      <c r="AJ9" s="5">
        <v>33663</v>
      </c>
      <c r="AK9" s="5">
        <v>33663</v>
      </c>
      <c r="AL9" s="5">
        <v>33661</v>
      </c>
      <c r="AM9" s="5">
        <v>0.25</v>
      </c>
      <c r="AN9" s="5">
        <v>1</v>
      </c>
      <c r="AO9" s="5">
        <v>10</v>
      </c>
      <c r="AP9" s="5">
        <v>1</v>
      </c>
      <c r="AQ9" s="5">
        <v>100</v>
      </c>
      <c r="AR9" s="5">
        <v>33660</v>
      </c>
      <c r="AS9" s="5">
        <v>99999</v>
      </c>
      <c r="AT9" s="5">
        <v>99999</v>
      </c>
      <c r="AU9" s="5">
        <v>33661</v>
      </c>
      <c r="AV9" s="5">
        <v>33661</v>
      </c>
      <c r="AW9" s="5">
        <v>33662</v>
      </c>
      <c r="AX9" s="5">
        <v>99999</v>
      </c>
      <c r="AY9" s="5">
        <v>99999</v>
      </c>
      <c r="AZ9" s="5">
        <v>99999</v>
      </c>
      <c r="BA9" s="5">
        <v>99999</v>
      </c>
      <c r="BB9" s="5">
        <v>99999</v>
      </c>
      <c r="BC9" s="5">
        <v>0</v>
      </c>
      <c r="BD9" s="5">
        <v>0</v>
      </c>
      <c r="BE9" s="5">
        <v>100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21">
        <v>33661</v>
      </c>
      <c r="BW9" s="5">
        <v>33662</v>
      </c>
      <c r="BX9" s="21">
        <v>33663</v>
      </c>
      <c r="BY9" s="5">
        <v>33664</v>
      </c>
      <c r="BZ9" s="21">
        <v>33665</v>
      </c>
      <c r="CA9" s="5">
        <v>33666</v>
      </c>
      <c r="CB9" s="21">
        <v>33667</v>
      </c>
      <c r="CC9" s="6" t="s">
        <v>12</v>
      </c>
      <c r="CD9" s="6" t="s">
        <v>535</v>
      </c>
    </row>
    <row r="10" spans="1:82" x14ac:dyDescent="0.15">
      <c r="A10" s="6">
        <v>8</v>
      </c>
      <c r="B10" s="5">
        <v>2012</v>
      </c>
      <c r="C10" s="5">
        <v>85</v>
      </c>
      <c r="D10" s="5">
        <v>302</v>
      </c>
      <c r="E10" s="21">
        <v>51.51</v>
      </c>
      <c r="F10" s="5">
        <v>0.13</v>
      </c>
      <c r="G10">
        <v>8634.9629999999997</v>
      </c>
      <c r="H10" s="5">
        <v>8</v>
      </c>
      <c r="I10" s="5">
        <v>1</v>
      </c>
      <c r="J10" s="5">
        <v>0</v>
      </c>
      <c r="K10" s="5">
        <v>0</v>
      </c>
      <c r="L10">
        <v>0.221</v>
      </c>
      <c r="M10">
        <v>0.13600000000000001</v>
      </c>
      <c r="N10">
        <v>4.48E-2</v>
      </c>
      <c r="O10">
        <v>0.17929999999999999</v>
      </c>
      <c r="P10">
        <v>0.36020000000000002</v>
      </c>
      <c r="Q10">
        <v>5.7700000000000001E-2</v>
      </c>
      <c r="R10">
        <v>1.1000000000000001E-3</v>
      </c>
      <c r="S10" s="5">
        <v>0</v>
      </c>
      <c r="T10" s="5">
        <v>0</v>
      </c>
      <c r="U10" s="5">
        <v>0</v>
      </c>
      <c r="V10" s="5">
        <v>10</v>
      </c>
      <c r="W10" s="5">
        <v>8</v>
      </c>
      <c r="X10" s="5">
        <v>8</v>
      </c>
      <c r="Y10" s="5">
        <v>-999</v>
      </c>
      <c r="Z10" s="5">
        <v>-999</v>
      </c>
      <c r="AA10" s="5">
        <v>-999</v>
      </c>
      <c r="AB10" s="5">
        <v>-999</v>
      </c>
      <c r="AC10" s="5">
        <v>-999</v>
      </c>
      <c r="AD10" s="67">
        <v>35.974792248675534</v>
      </c>
      <c r="AE10" s="67">
        <v>42.082172210813184</v>
      </c>
      <c r="AF10" s="5">
        <v>33661</v>
      </c>
      <c r="AG10" s="5">
        <v>33662</v>
      </c>
      <c r="AH10" s="5">
        <v>33661</v>
      </c>
      <c r="AI10" s="5">
        <v>33662</v>
      </c>
      <c r="AJ10" s="5">
        <v>33663</v>
      </c>
      <c r="AK10" s="5">
        <v>33663</v>
      </c>
      <c r="AL10" s="5">
        <v>33661</v>
      </c>
      <c r="AM10" s="5">
        <v>0.25</v>
      </c>
      <c r="AN10" s="5">
        <v>1</v>
      </c>
      <c r="AO10" s="5">
        <v>10</v>
      </c>
      <c r="AP10" s="5">
        <v>1</v>
      </c>
      <c r="AQ10" s="5">
        <v>100</v>
      </c>
      <c r="AR10" s="5">
        <v>33660</v>
      </c>
      <c r="AS10" s="5">
        <v>99999</v>
      </c>
      <c r="AT10" s="5">
        <v>99999</v>
      </c>
      <c r="AU10" s="5">
        <v>33661</v>
      </c>
      <c r="AV10" s="5">
        <v>33661</v>
      </c>
      <c r="AW10" s="5">
        <v>33662</v>
      </c>
      <c r="AX10" s="5">
        <v>99999</v>
      </c>
      <c r="AY10" s="5">
        <v>99999</v>
      </c>
      <c r="AZ10" s="5">
        <v>99999</v>
      </c>
      <c r="BA10" s="5">
        <v>99999</v>
      </c>
      <c r="BB10" s="5">
        <v>99999</v>
      </c>
      <c r="BC10" s="5">
        <v>0</v>
      </c>
      <c r="BD10" s="5">
        <v>0</v>
      </c>
      <c r="BE10" s="5">
        <v>100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21">
        <v>33661</v>
      </c>
      <c r="BW10" s="5">
        <v>33662</v>
      </c>
      <c r="BX10" s="21">
        <v>33663</v>
      </c>
      <c r="BY10" s="5">
        <v>33664</v>
      </c>
      <c r="BZ10" s="21">
        <v>33665</v>
      </c>
      <c r="CA10" s="5">
        <v>33666</v>
      </c>
      <c r="CB10" s="21">
        <v>33667</v>
      </c>
      <c r="CC10" s="6" t="s">
        <v>12</v>
      </c>
      <c r="CD10" s="6" t="s">
        <v>536</v>
      </c>
    </row>
    <row r="11" spans="1:82" x14ac:dyDescent="0.15">
      <c r="A11" s="6">
        <v>9</v>
      </c>
      <c r="B11" s="5">
        <v>2012</v>
      </c>
      <c r="C11" s="5">
        <v>85</v>
      </c>
      <c r="D11" s="5">
        <v>302</v>
      </c>
      <c r="E11" s="21">
        <v>51.51</v>
      </c>
      <c r="F11" s="5">
        <v>0.13</v>
      </c>
      <c r="G11">
        <v>5544.2659999999996</v>
      </c>
      <c r="H11" s="5">
        <v>8</v>
      </c>
      <c r="I11" s="5">
        <v>1</v>
      </c>
      <c r="J11" s="5">
        <v>0</v>
      </c>
      <c r="K11" s="5">
        <v>0</v>
      </c>
      <c r="L11">
        <v>0.247</v>
      </c>
      <c r="M11">
        <v>0.17649999999999999</v>
      </c>
      <c r="N11">
        <v>3.6200000000000003E-2</v>
      </c>
      <c r="O11">
        <v>0.1449</v>
      </c>
      <c r="P11">
        <v>0.29399999999999998</v>
      </c>
      <c r="Q11">
        <v>9.4E-2</v>
      </c>
      <c r="R11">
        <v>7.4000000000000003E-3</v>
      </c>
      <c r="S11" s="5">
        <v>0</v>
      </c>
      <c r="T11" s="5">
        <v>0</v>
      </c>
      <c r="U11" s="5">
        <v>0</v>
      </c>
      <c r="V11" s="5">
        <v>10</v>
      </c>
      <c r="W11" s="5">
        <v>8</v>
      </c>
      <c r="X11" s="5">
        <v>8</v>
      </c>
      <c r="Y11" s="5">
        <v>-999</v>
      </c>
      <c r="Z11" s="5">
        <v>-999</v>
      </c>
      <c r="AA11" s="5">
        <v>-999</v>
      </c>
      <c r="AB11" s="5">
        <v>-999</v>
      </c>
      <c r="AC11" s="5">
        <v>-999</v>
      </c>
      <c r="AD11" s="67">
        <v>55.19341965194311</v>
      </c>
      <c r="AE11" s="67">
        <v>61.044870502245026</v>
      </c>
      <c r="AF11" s="5">
        <v>33661</v>
      </c>
      <c r="AG11" s="5">
        <v>33662</v>
      </c>
      <c r="AH11" s="5">
        <v>33661</v>
      </c>
      <c r="AI11" s="5">
        <v>33662</v>
      </c>
      <c r="AJ11" s="5">
        <v>33663</v>
      </c>
      <c r="AK11" s="5">
        <v>33663</v>
      </c>
      <c r="AL11" s="5">
        <v>33661</v>
      </c>
      <c r="AM11" s="5">
        <v>0.25</v>
      </c>
      <c r="AN11" s="5">
        <v>1</v>
      </c>
      <c r="AO11" s="5">
        <v>10</v>
      </c>
      <c r="AP11" s="5">
        <v>1</v>
      </c>
      <c r="AQ11" s="5">
        <v>100</v>
      </c>
      <c r="AR11" s="5">
        <v>33660</v>
      </c>
      <c r="AS11" s="5">
        <v>99999</v>
      </c>
      <c r="AT11" s="5">
        <v>99999</v>
      </c>
      <c r="AU11" s="5">
        <v>33661</v>
      </c>
      <c r="AV11" s="5">
        <v>33661</v>
      </c>
      <c r="AW11" s="5">
        <v>33662</v>
      </c>
      <c r="AX11" s="5">
        <v>99999</v>
      </c>
      <c r="AY11" s="5">
        <v>99999</v>
      </c>
      <c r="AZ11" s="5">
        <v>99999</v>
      </c>
      <c r="BA11" s="5">
        <v>99999</v>
      </c>
      <c r="BB11" s="5">
        <v>99999</v>
      </c>
      <c r="BC11" s="5">
        <v>0</v>
      </c>
      <c r="BD11" s="5">
        <v>0</v>
      </c>
      <c r="BE11" s="5">
        <v>100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21">
        <v>33661</v>
      </c>
      <c r="BW11" s="5">
        <v>33662</v>
      </c>
      <c r="BX11" s="21">
        <v>33663</v>
      </c>
      <c r="BY11" s="5">
        <v>33664</v>
      </c>
      <c r="BZ11" s="21">
        <v>33665</v>
      </c>
      <c r="CA11" s="5">
        <v>33666</v>
      </c>
      <c r="CB11" s="21">
        <v>33667</v>
      </c>
      <c r="CC11" s="6" t="s">
        <v>12</v>
      </c>
      <c r="CD11" s="6" t="s">
        <v>537</v>
      </c>
    </row>
    <row r="12" spans="1:82" x14ac:dyDescent="0.15">
      <c r="A12" s="6">
        <v>10</v>
      </c>
      <c r="B12" s="5">
        <v>2012</v>
      </c>
      <c r="C12" s="5">
        <v>85</v>
      </c>
      <c r="D12" s="5">
        <v>302</v>
      </c>
      <c r="E12" s="21">
        <v>51.51</v>
      </c>
      <c r="F12" s="5">
        <v>0.13</v>
      </c>
      <c r="G12">
        <v>8199.5499999999993</v>
      </c>
      <c r="H12" s="5">
        <v>8</v>
      </c>
      <c r="I12" s="5">
        <v>1</v>
      </c>
      <c r="J12" s="5">
        <v>0</v>
      </c>
      <c r="K12" s="5">
        <v>0</v>
      </c>
      <c r="L12">
        <v>0.17130000000000001</v>
      </c>
      <c r="M12">
        <v>0.11849999999999999</v>
      </c>
      <c r="N12">
        <v>4.36E-2</v>
      </c>
      <c r="O12">
        <v>0.17419999999999999</v>
      </c>
      <c r="P12">
        <v>0.37959999999999999</v>
      </c>
      <c r="Q12">
        <v>6.3E-2</v>
      </c>
      <c r="R12">
        <v>4.9799999999999997E-2</v>
      </c>
      <c r="S12" s="5">
        <v>0</v>
      </c>
      <c r="T12" s="5">
        <v>0</v>
      </c>
      <c r="U12" s="5">
        <v>0</v>
      </c>
      <c r="V12" s="5">
        <v>10</v>
      </c>
      <c r="W12" s="5">
        <v>8</v>
      </c>
      <c r="X12" s="5">
        <v>8</v>
      </c>
      <c r="Y12" s="5">
        <v>-999</v>
      </c>
      <c r="Z12" s="5">
        <v>-999</v>
      </c>
      <c r="AA12" s="5">
        <v>-999</v>
      </c>
      <c r="AB12" s="5">
        <v>-999</v>
      </c>
      <c r="AC12" s="5">
        <v>-999</v>
      </c>
      <c r="AD12" s="67">
        <v>34.175534023208591</v>
      </c>
      <c r="AE12" s="67">
        <v>38.107701032373733</v>
      </c>
      <c r="AF12" s="5">
        <v>33661</v>
      </c>
      <c r="AG12" s="5">
        <v>33662</v>
      </c>
      <c r="AH12" s="5">
        <v>33661</v>
      </c>
      <c r="AI12" s="5">
        <v>33662</v>
      </c>
      <c r="AJ12" s="5">
        <v>33663</v>
      </c>
      <c r="AK12" s="5">
        <v>33663</v>
      </c>
      <c r="AL12" s="5">
        <v>33661</v>
      </c>
      <c r="AM12" s="5">
        <v>0.25</v>
      </c>
      <c r="AN12" s="5">
        <v>1</v>
      </c>
      <c r="AO12" s="5">
        <v>10</v>
      </c>
      <c r="AP12" s="5">
        <v>1</v>
      </c>
      <c r="AQ12" s="5">
        <v>100</v>
      </c>
      <c r="AR12" s="5">
        <v>33660</v>
      </c>
      <c r="AS12" s="5">
        <v>99999</v>
      </c>
      <c r="AT12" s="5">
        <v>99999</v>
      </c>
      <c r="AU12" s="5">
        <v>33661</v>
      </c>
      <c r="AV12" s="5">
        <v>33661</v>
      </c>
      <c r="AW12" s="5">
        <v>33662</v>
      </c>
      <c r="AX12" s="5">
        <v>99999</v>
      </c>
      <c r="AY12" s="5">
        <v>99999</v>
      </c>
      <c r="AZ12" s="5">
        <v>99999</v>
      </c>
      <c r="BA12" s="5">
        <v>99999</v>
      </c>
      <c r="BB12" s="5">
        <v>99999</v>
      </c>
      <c r="BC12" s="5">
        <v>0</v>
      </c>
      <c r="BD12" s="5">
        <v>0</v>
      </c>
      <c r="BE12" s="5">
        <v>100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21">
        <v>33661</v>
      </c>
      <c r="BW12" s="5">
        <v>33662</v>
      </c>
      <c r="BX12" s="21">
        <v>33663</v>
      </c>
      <c r="BY12" s="5">
        <v>33664</v>
      </c>
      <c r="BZ12" s="21">
        <v>33665</v>
      </c>
      <c r="CA12" s="5">
        <v>33666</v>
      </c>
      <c r="CB12" s="21">
        <v>33667</v>
      </c>
      <c r="CC12" s="6" t="s">
        <v>12</v>
      </c>
      <c r="CD12" s="6" t="s">
        <v>538</v>
      </c>
    </row>
    <row r="13" spans="1:82" x14ac:dyDescent="0.15">
      <c r="A13" s="6">
        <v>11</v>
      </c>
      <c r="B13" s="5">
        <v>2012</v>
      </c>
      <c r="C13" s="5">
        <v>85</v>
      </c>
      <c r="D13" s="5">
        <v>302</v>
      </c>
      <c r="E13" s="21">
        <v>51.51</v>
      </c>
      <c r="F13" s="5">
        <v>0.13</v>
      </c>
      <c r="G13">
        <v>4786.893</v>
      </c>
      <c r="H13" s="5">
        <v>8</v>
      </c>
      <c r="I13" s="5">
        <v>1</v>
      </c>
      <c r="J13" s="5">
        <v>0</v>
      </c>
      <c r="K13" s="5">
        <v>0</v>
      </c>
      <c r="L13">
        <v>0.22700000000000001</v>
      </c>
      <c r="M13">
        <v>0.14760000000000001</v>
      </c>
      <c r="N13">
        <v>3.7100000000000001E-2</v>
      </c>
      <c r="O13">
        <v>0.14829999999999999</v>
      </c>
      <c r="P13">
        <v>0.30940000000000001</v>
      </c>
      <c r="Q13">
        <v>0.1139</v>
      </c>
      <c r="R13">
        <v>1.67E-2</v>
      </c>
      <c r="S13" s="5">
        <v>0</v>
      </c>
      <c r="T13" s="5">
        <v>0</v>
      </c>
      <c r="U13" s="5">
        <v>0</v>
      </c>
      <c r="V13" s="5">
        <v>10</v>
      </c>
      <c r="W13" s="5">
        <v>8</v>
      </c>
      <c r="X13" s="5">
        <v>8</v>
      </c>
      <c r="Y13" s="5">
        <v>-999</v>
      </c>
      <c r="Z13" s="5">
        <v>-999</v>
      </c>
      <c r="AA13" s="5">
        <v>-999</v>
      </c>
      <c r="AB13" s="5">
        <v>-999</v>
      </c>
      <c r="AC13" s="5">
        <v>-999</v>
      </c>
      <c r="AD13" s="67">
        <v>46.569246482008268</v>
      </c>
      <c r="AE13" s="67">
        <v>53.177917283716184</v>
      </c>
      <c r="AF13" s="5">
        <v>33661</v>
      </c>
      <c r="AG13" s="5">
        <v>33662</v>
      </c>
      <c r="AH13" s="5">
        <v>33661</v>
      </c>
      <c r="AI13" s="5">
        <v>33662</v>
      </c>
      <c r="AJ13" s="5">
        <v>33663</v>
      </c>
      <c r="AK13" s="5">
        <v>33663</v>
      </c>
      <c r="AL13" s="5">
        <v>33661</v>
      </c>
      <c r="AM13" s="5">
        <v>0.25</v>
      </c>
      <c r="AN13" s="5">
        <v>1</v>
      </c>
      <c r="AO13" s="5">
        <v>10</v>
      </c>
      <c r="AP13" s="5">
        <v>1</v>
      </c>
      <c r="AQ13" s="5">
        <v>100</v>
      </c>
      <c r="AR13" s="5">
        <v>33660</v>
      </c>
      <c r="AS13" s="5">
        <v>99999</v>
      </c>
      <c r="AT13" s="5">
        <v>99999</v>
      </c>
      <c r="AU13" s="5">
        <v>33661</v>
      </c>
      <c r="AV13" s="5">
        <v>33661</v>
      </c>
      <c r="AW13" s="5">
        <v>33662</v>
      </c>
      <c r="AX13" s="5">
        <v>99999</v>
      </c>
      <c r="AY13" s="5">
        <v>99999</v>
      </c>
      <c r="AZ13" s="5">
        <v>99999</v>
      </c>
      <c r="BA13" s="5">
        <v>99999</v>
      </c>
      <c r="BB13" s="5">
        <v>99999</v>
      </c>
      <c r="BC13" s="5">
        <v>0</v>
      </c>
      <c r="BD13" s="5">
        <v>0</v>
      </c>
      <c r="BE13" s="5">
        <v>100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21">
        <v>33661</v>
      </c>
      <c r="BW13" s="5">
        <v>33662</v>
      </c>
      <c r="BX13" s="21">
        <v>33663</v>
      </c>
      <c r="BY13" s="5">
        <v>33664</v>
      </c>
      <c r="BZ13" s="21">
        <v>33665</v>
      </c>
      <c r="CA13" s="5">
        <v>33666</v>
      </c>
      <c r="CB13" s="21">
        <v>33667</v>
      </c>
      <c r="CC13" s="6" t="s">
        <v>12</v>
      </c>
      <c r="CD13" s="6" t="s">
        <v>539</v>
      </c>
    </row>
    <row r="14" spans="1:82" x14ac:dyDescent="0.15">
      <c r="A14" s="6">
        <v>12</v>
      </c>
      <c r="B14" s="5">
        <v>2012</v>
      </c>
      <c r="C14" s="5">
        <v>85</v>
      </c>
      <c r="D14" s="5">
        <v>302</v>
      </c>
      <c r="E14" s="21">
        <v>51.51</v>
      </c>
      <c r="F14" s="5">
        <v>0.13</v>
      </c>
      <c r="G14">
        <v>1905.7940000000001</v>
      </c>
      <c r="H14" s="5">
        <v>8</v>
      </c>
      <c r="I14" s="5">
        <v>1</v>
      </c>
      <c r="J14" s="5">
        <v>0</v>
      </c>
      <c r="K14" s="5">
        <v>0</v>
      </c>
      <c r="L14">
        <v>0.26719999999999999</v>
      </c>
      <c r="M14">
        <v>0.2389</v>
      </c>
      <c r="N14">
        <v>2.6800000000000001E-2</v>
      </c>
      <c r="O14">
        <v>0.1072</v>
      </c>
      <c r="P14">
        <v>0.21870000000000001</v>
      </c>
      <c r="Q14">
        <v>0.11940000000000001</v>
      </c>
      <c r="R14">
        <v>2.18E-2</v>
      </c>
      <c r="S14" s="5">
        <v>0</v>
      </c>
      <c r="T14" s="5">
        <v>0</v>
      </c>
      <c r="U14" s="5">
        <v>0</v>
      </c>
      <c r="V14" s="5">
        <v>10</v>
      </c>
      <c r="W14" s="5">
        <v>8</v>
      </c>
      <c r="X14" s="5">
        <v>8</v>
      </c>
      <c r="Y14" s="5">
        <v>-999</v>
      </c>
      <c r="Z14" s="5">
        <v>-999</v>
      </c>
      <c r="AA14" s="5">
        <v>-999</v>
      </c>
      <c r="AB14" s="5">
        <v>-999</v>
      </c>
      <c r="AC14" s="5">
        <v>-999</v>
      </c>
      <c r="AD14" s="67">
        <v>121.3488971001063</v>
      </c>
      <c r="AE14" s="67">
        <v>129.22173120494659</v>
      </c>
      <c r="AF14" s="5">
        <v>33661</v>
      </c>
      <c r="AG14" s="5">
        <v>33662</v>
      </c>
      <c r="AH14" s="5">
        <v>33661</v>
      </c>
      <c r="AI14" s="5">
        <v>33662</v>
      </c>
      <c r="AJ14" s="5">
        <v>33663</v>
      </c>
      <c r="AK14" s="5">
        <v>33663</v>
      </c>
      <c r="AL14" s="5">
        <v>33661</v>
      </c>
      <c r="AM14" s="5">
        <v>0.25</v>
      </c>
      <c r="AN14" s="5">
        <v>1</v>
      </c>
      <c r="AO14" s="5">
        <v>10</v>
      </c>
      <c r="AP14" s="5">
        <v>1</v>
      </c>
      <c r="AQ14" s="5">
        <v>100</v>
      </c>
      <c r="AR14" s="5">
        <v>33660</v>
      </c>
      <c r="AS14" s="5">
        <v>99999</v>
      </c>
      <c r="AT14" s="5">
        <v>99999</v>
      </c>
      <c r="AU14" s="5">
        <v>33661</v>
      </c>
      <c r="AV14" s="5">
        <v>33661</v>
      </c>
      <c r="AW14" s="5">
        <v>33662</v>
      </c>
      <c r="AX14" s="5">
        <v>99999</v>
      </c>
      <c r="AY14" s="5">
        <v>99999</v>
      </c>
      <c r="AZ14" s="5">
        <v>99999</v>
      </c>
      <c r="BA14" s="5">
        <v>99999</v>
      </c>
      <c r="BB14" s="5">
        <v>99999</v>
      </c>
      <c r="BC14" s="5">
        <v>0</v>
      </c>
      <c r="BD14" s="5">
        <v>0</v>
      </c>
      <c r="BE14" s="5">
        <v>100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21">
        <v>33661</v>
      </c>
      <c r="BW14" s="5">
        <v>33662</v>
      </c>
      <c r="BX14" s="21">
        <v>33663</v>
      </c>
      <c r="BY14" s="5">
        <v>33664</v>
      </c>
      <c r="BZ14" s="21">
        <v>33665</v>
      </c>
      <c r="CA14" s="5">
        <v>33666</v>
      </c>
      <c r="CB14" s="21">
        <v>33667</v>
      </c>
      <c r="CC14" s="6" t="s">
        <v>12</v>
      </c>
      <c r="CD14" s="6" t="s">
        <v>540</v>
      </c>
    </row>
    <row r="15" spans="1:82" x14ac:dyDescent="0.15">
      <c r="A15" s="6">
        <v>13</v>
      </c>
      <c r="B15" s="5">
        <v>2012</v>
      </c>
      <c r="C15" s="5">
        <v>85</v>
      </c>
      <c r="D15" s="5">
        <v>302</v>
      </c>
      <c r="E15" s="21">
        <v>51.51</v>
      </c>
      <c r="F15" s="5">
        <v>0.13</v>
      </c>
      <c r="G15">
        <v>1758.107</v>
      </c>
      <c r="H15" s="5">
        <v>8</v>
      </c>
      <c r="I15" s="5">
        <v>1</v>
      </c>
      <c r="J15" s="5">
        <v>0</v>
      </c>
      <c r="K15" s="5">
        <v>0</v>
      </c>
      <c r="L15">
        <v>0.26200000000000001</v>
      </c>
      <c r="M15">
        <v>0.251</v>
      </c>
      <c r="N15">
        <v>2.3199999999999998E-2</v>
      </c>
      <c r="O15">
        <v>9.2700000000000005E-2</v>
      </c>
      <c r="P15">
        <v>0.186</v>
      </c>
      <c r="Q15">
        <v>0.1177</v>
      </c>
      <c r="R15">
        <v>6.7400000000000002E-2</v>
      </c>
      <c r="S15" s="5">
        <v>0</v>
      </c>
      <c r="T15" s="5">
        <v>0</v>
      </c>
      <c r="U15" s="5">
        <v>0</v>
      </c>
      <c r="V15" s="5">
        <v>10</v>
      </c>
      <c r="W15" s="5">
        <v>8</v>
      </c>
      <c r="X15" s="5">
        <v>8</v>
      </c>
      <c r="Y15" s="5">
        <v>-999</v>
      </c>
      <c r="Z15" s="5">
        <v>-999</v>
      </c>
      <c r="AA15" s="5">
        <v>-999</v>
      </c>
      <c r="AB15" s="5">
        <v>-999</v>
      </c>
      <c r="AC15" s="5">
        <v>-999</v>
      </c>
      <c r="AD15" s="67">
        <v>118.00419428396566</v>
      </c>
      <c r="AE15" s="67">
        <v>103.80084943635399</v>
      </c>
      <c r="AF15" s="5">
        <v>33661</v>
      </c>
      <c r="AG15" s="5">
        <v>33662</v>
      </c>
      <c r="AH15" s="5">
        <v>33661</v>
      </c>
      <c r="AI15" s="5">
        <v>33662</v>
      </c>
      <c r="AJ15" s="5">
        <v>33663</v>
      </c>
      <c r="AK15" s="5">
        <v>33663</v>
      </c>
      <c r="AL15" s="5">
        <v>33661</v>
      </c>
      <c r="AM15" s="5">
        <v>0.25</v>
      </c>
      <c r="AN15" s="5">
        <v>1</v>
      </c>
      <c r="AO15" s="5">
        <v>10</v>
      </c>
      <c r="AP15" s="5">
        <v>1</v>
      </c>
      <c r="AQ15" s="5">
        <v>100</v>
      </c>
      <c r="AR15" s="5">
        <v>33660</v>
      </c>
      <c r="AS15" s="5">
        <v>99999</v>
      </c>
      <c r="AT15" s="5">
        <v>99999</v>
      </c>
      <c r="AU15" s="5">
        <v>33661</v>
      </c>
      <c r="AV15" s="5">
        <v>33661</v>
      </c>
      <c r="AW15" s="5">
        <v>33662</v>
      </c>
      <c r="AX15" s="5">
        <v>99999</v>
      </c>
      <c r="AY15" s="5">
        <v>99999</v>
      </c>
      <c r="AZ15" s="5">
        <v>99999</v>
      </c>
      <c r="BA15" s="5">
        <v>99999</v>
      </c>
      <c r="BB15" s="5">
        <v>99999</v>
      </c>
      <c r="BC15" s="5">
        <v>0</v>
      </c>
      <c r="BD15" s="5">
        <v>0</v>
      </c>
      <c r="BE15" s="5">
        <v>100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21">
        <v>33661</v>
      </c>
      <c r="BW15" s="5">
        <v>33662</v>
      </c>
      <c r="BX15" s="21">
        <v>33663</v>
      </c>
      <c r="BY15" s="5">
        <v>33664</v>
      </c>
      <c r="BZ15" s="21">
        <v>33665</v>
      </c>
      <c r="CA15" s="5">
        <v>33666</v>
      </c>
      <c r="CB15" s="21">
        <v>33667</v>
      </c>
      <c r="CC15" s="6" t="s">
        <v>12</v>
      </c>
      <c r="CD15" s="6" t="s">
        <v>541</v>
      </c>
    </row>
    <row r="16" spans="1:82" x14ac:dyDescent="0.15">
      <c r="A16" s="6">
        <v>14</v>
      </c>
      <c r="B16" s="5">
        <v>2012</v>
      </c>
      <c r="C16" s="5">
        <v>85</v>
      </c>
      <c r="D16" s="5">
        <v>302</v>
      </c>
      <c r="E16" s="21">
        <v>51.51</v>
      </c>
      <c r="F16" s="5">
        <v>0.13</v>
      </c>
      <c r="G16">
        <v>2955.5520000000001</v>
      </c>
      <c r="H16" s="5">
        <v>8</v>
      </c>
      <c r="I16" s="5">
        <v>1</v>
      </c>
      <c r="J16" s="5">
        <v>0</v>
      </c>
      <c r="K16" s="5">
        <v>0</v>
      </c>
      <c r="L16">
        <v>0.27</v>
      </c>
      <c r="M16">
        <v>0.21709999999999999</v>
      </c>
      <c r="N16">
        <v>3.3300000000000003E-2</v>
      </c>
      <c r="O16">
        <v>0.1333</v>
      </c>
      <c r="P16">
        <v>0.26140000000000002</v>
      </c>
      <c r="Q16">
        <v>7.7399999999999997E-2</v>
      </c>
      <c r="R16">
        <v>7.4999999999999997E-3</v>
      </c>
      <c r="S16" s="5">
        <v>0</v>
      </c>
      <c r="T16" s="5">
        <v>0</v>
      </c>
      <c r="U16" s="5">
        <v>0</v>
      </c>
      <c r="V16" s="5">
        <v>10</v>
      </c>
      <c r="W16" s="5">
        <v>8</v>
      </c>
      <c r="X16" s="5">
        <v>8</v>
      </c>
      <c r="Y16" s="5">
        <v>-999</v>
      </c>
      <c r="Z16" s="5">
        <v>-999</v>
      </c>
      <c r="AA16" s="5">
        <v>-999</v>
      </c>
      <c r="AB16" s="5">
        <v>-999</v>
      </c>
      <c r="AC16" s="5">
        <v>-999</v>
      </c>
      <c r="AD16" s="67">
        <v>71.586627472634547</v>
      </c>
      <c r="AE16" s="67">
        <v>86.253261658059131</v>
      </c>
      <c r="AF16" s="5">
        <v>33661</v>
      </c>
      <c r="AG16" s="5">
        <v>33662</v>
      </c>
      <c r="AH16" s="5">
        <v>33661</v>
      </c>
      <c r="AI16" s="5">
        <v>33662</v>
      </c>
      <c r="AJ16" s="5">
        <v>33663</v>
      </c>
      <c r="AK16" s="5">
        <v>33663</v>
      </c>
      <c r="AL16" s="5">
        <v>33661</v>
      </c>
      <c r="AM16" s="5">
        <v>0.25</v>
      </c>
      <c r="AN16" s="5">
        <v>1</v>
      </c>
      <c r="AO16" s="5">
        <v>10</v>
      </c>
      <c r="AP16" s="5">
        <v>1</v>
      </c>
      <c r="AQ16" s="5">
        <v>100</v>
      </c>
      <c r="AR16" s="5">
        <v>33660</v>
      </c>
      <c r="AS16" s="5">
        <v>99999</v>
      </c>
      <c r="AT16" s="5">
        <v>99999</v>
      </c>
      <c r="AU16" s="5">
        <v>33661</v>
      </c>
      <c r="AV16" s="5">
        <v>33661</v>
      </c>
      <c r="AW16" s="5">
        <v>33662</v>
      </c>
      <c r="AX16" s="5">
        <v>99999</v>
      </c>
      <c r="AY16" s="5">
        <v>99999</v>
      </c>
      <c r="AZ16" s="5">
        <v>99999</v>
      </c>
      <c r="BA16" s="5">
        <v>99999</v>
      </c>
      <c r="BB16" s="5">
        <v>99999</v>
      </c>
      <c r="BC16" s="5">
        <v>0</v>
      </c>
      <c r="BD16" s="5">
        <v>0</v>
      </c>
      <c r="BE16" s="5">
        <v>100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21">
        <v>33661</v>
      </c>
      <c r="BW16" s="5">
        <v>33662</v>
      </c>
      <c r="BX16" s="21">
        <v>33663</v>
      </c>
      <c r="BY16" s="5">
        <v>33664</v>
      </c>
      <c r="BZ16" s="21">
        <v>33665</v>
      </c>
      <c r="CA16" s="5">
        <v>33666</v>
      </c>
      <c r="CB16" s="21">
        <v>33667</v>
      </c>
      <c r="CC16" s="6" t="s">
        <v>12</v>
      </c>
      <c r="CD16" s="6" t="s">
        <v>542</v>
      </c>
    </row>
    <row r="17" spans="1:82" x14ac:dyDescent="0.15">
      <c r="A17" s="6">
        <v>15</v>
      </c>
      <c r="B17" s="5">
        <v>2012</v>
      </c>
      <c r="C17" s="5">
        <v>85</v>
      </c>
      <c r="D17" s="5">
        <v>302</v>
      </c>
      <c r="E17" s="21">
        <v>51.51</v>
      </c>
      <c r="F17" s="5">
        <v>0.13</v>
      </c>
      <c r="G17">
        <v>5043.4459999999999</v>
      </c>
      <c r="H17" s="5">
        <v>8</v>
      </c>
      <c r="I17" s="5">
        <v>1</v>
      </c>
      <c r="J17" s="5">
        <v>0</v>
      </c>
      <c r="K17" s="5">
        <v>0</v>
      </c>
      <c r="L17">
        <v>0.23019999999999999</v>
      </c>
      <c r="M17">
        <v>0.13739999999999999</v>
      </c>
      <c r="N17">
        <v>4.4299999999999999E-2</v>
      </c>
      <c r="O17">
        <v>0.1774</v>
      </c>
      <c r="P17">
        <v>0.3498</v>
      </c>
      <c r="Q17">
        <v>5.7299999999999997E-2</v>
      </c>
      <c r="R17">
        <v>3.7000000000000002E-3</v>
      </c>
      <c r="S17" s="5">
        <v>0</v>
      </c>
      <c r="T17" s="5">
        <v>0</v>
      </c>
      <c r="U17" s="5">
        <v>0</v>
      </c>
      <c r="V17" s="5">
        <v>10</v>
      </c>
      <c r="W17" s="5">
        <v>8</v>
      </c>
      <c r="X17" s="5">
        <v>8</v>
      </c>
      <c r="Y17" s="5">
        <v>-999</v>
      </c>
      <c r="Z17" s="5">
        <v>-999</v>
      </c>
      <c r="AA17" s="5">
        <v>-999</v>
      </c>
      <c r="AB17" s="5">
        <v>-999</v>
      </c>
      <c r="AC17" s="5">
        <v>-999</v>
      </c>
      <c r="AD17" s="67">
        <v>39.412338309957121</v>
      </c>
      <c r="AE17" s="67">
        <v>47.399337675073753</v>
      </c>
      <c r="AF17" s="5">
        <v>33661</v>
      </c>
      <c r="AG17" s="5">
        <v>33662</v>
      </c>
      <c r="AH17" s="5">
        <v>33661</v>
      </c>
      <c r="AI17" s="5">
        <v>33662</v>
      </c>
      <c r="AJ17" s="5">
        <v>33663</v>
      </c>
      <c r="AK17" s="5">
        <v>33663</v>
      </c>
      <c r="AL17" s="5">
        <v>33661</v>
      </c>
      <c r="AM17" s="5">
        <v>0.25</v>
      </c>
      <c r="AN17" s="5">
        <v>1</v>
      </c>
      <c r="AO17" s="5">
        <v>10</v>
      </c>
      <c r="AP17" s="5">
        <v>1</v>
      </c>
      <c r="AQ17" s="5">
        <v>100</v>
      </c>
      <c r="AR17" s="5">
        <v>33660</v>
      </c>
      <c r="AS17" s="5">
        <v>99999</v>
      </c>
      <c r="AT17" s="5">
        <v>99999</v>
      </c>
      <c r="AU17" s="5">
        <v>33661</v>
      </c>
      <c r="AV17" s="5">
        <v>33661</v>
      </c>
      <c r="AW17" s="5">
        <v>33662</v>
      </c>
      <c r="AX17" s="5">
        <v>99999</v>
      </c>
      <c r="AY17" s="5">
        <v>99999</v>
      </c>
      <c r="AZ17" s="5">
        <v>99999</v>
      </c>
      <c r="BA17" s="5">
        <v>99999</v>
      </c>
      <c r="BB17" s="5">
        <v>99999</v>
      </c>
      <c r="BC17" s="5">
        <v>0</v>
      </c>
      <c r="BD17" s="5">
        <v>0</v>
      </c>
      <c r="BE17" s="5">
        <v>100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21">
        <v>33661</v>
      </c>
      <c r="BW17" s="5">
        <v>33662</v>
      </c>
      <c r="BX17" s="21">
        <v>33663</v>
      </c>
      <c r="BY17" s="5">
        <v>33664</v>
      </c>
      <c r="BZ17" s="21">
        <v>33665</v>
      </c>
      <c r="CA17" s="5">
        <v>33666</v>
      </c>
      <c r="CB17" s="21">
        <v>33667</v>
      </c>
      <c r="CC17" s="6" t="s">
        <v>12</v>
      </c>
      <c r="CD17" s="6" t="s">
        <v>543</v>
      </c>
    </row>
    <row r="18" spans="1:82" x14ac:dyDescent="0.15">
      <c r="A18" s="6">
        <v>16</v>
      </c>
      <c r="B18" s="5">
        <v>2012</v>
      </c>
      <c r="C18" s="5">
        <v>85</v>
      </c>
      <c r="D18" s="5">
        <v>302</v>
      </c>
      <c r="E18" s="21">
        <v>51.51</v>
      </c>
      <c r="F18" s="5">
        <v>0.13</v>
      </c>
      <c r="G18">
        <v>11224.523999999999</v>
      </c>
      <c r="H18" s="5">
        <v>8</v>
      </c>
      <c r="I18" s="5">
        <v>1</v>
      </c>
      <c r="J18" s="5">
        <v>0</v>
      </c>
      <c r="K18" s="5">
        <v>0</v>
      </c>
      <c r="L18">
        <v>0.1386</v>
      </c>
      <c r="M18">
        <v>8.0399999999999999E-2</v>
      </c>
      <c r="N18">
        <v>5.1200000000000002E-2</v>
      </c>
      <c r="O18">
        <v>0.20480000000000001</v>
      </c>
      <c r="P18">
        <v>0.4637</v>
      </c>
      <c r="Q18">
        <v>4.7E-2</v>
      </c>
      <c r="R18">
        <v>1.4200000000000001E-2</v>
      </c>
      <c r="S18" s="5">
        <v>0</v>
      </c>
      <c r="T18" s="5">
        <v>0</v>
      </c>
      <c r="U18" s="5">
        <v>0</v>
      </c>
      <c r="V18" s="5">
        <v>10</v>
      </c>
      <c r="W18" s="5">
        <v>8</v>
      </c>
      <c r="X18" s="5">
        <v>8</v>
      </c>
      <c r="Y18" s="5">
        <v>-999</v>
      </c>
      <c r="Z18" s="5">
        <v>-999</v>
      </c>
      <c r="AA18" s="5">
        <v>-999</v>
      </c>
      <c r="AB18" s="5">
        <v>-999</v>
      </c>
      <c r="AC18" s="5">
        <v>-999</v>
      </c>
      <c r="AD18" s="67">
        <v>18.611657830657229</v>
      </c>
      <c r="AE18" s="67">
        <v>21.135150140887934</v>
      </c>
      <c r="AF18" s="5">
        <v>33661</v>
      </c>
      <c r="AG18" s="5">
        <v>33662</v>
      </c>
      <c r="AH18" s="5">
        <v>33661</v>
      </c>
      <c r="AI18" s="5">
        <v>33662</v>
      </c>
      <c r="AJ18" s="5">
        <v>33663</v>
      </c>
      <c r="AK18" s="5">
        <v>33663</v>
      </c>
      <c r="AL18" s="5">
        <v>33661</v>
      </c>
      <c r="AM18" s="5">
        <v>0.25</v>
      </c>
      <c r="AN18" s="5">
        <v>1</v>
      </c>
      <c r="AO18" s="5">
        <v>10</v>
      </c>
      <c r="AP18" s="5">
        <v>1</v>
      </c>
      <c r="AQ18" s="5">
        <v>100</v>
      </c>
      <c r="AR18" s="5">
        <v>33660</v>
      </c>
      <c r="AS18" s="5">
        <v>99999</v>
      </c>
      <c r="AT18" s="5">
        <v>99999</v>
      </c>
      <c r="AU18" s="5">
        <v>33661</v>
      </c>
      <c r="AV18" s="5">
        <v>33661</v>
      </c>
      <c r="AW18" s="5">
        <v>33662</v>
      </c>
      <c r="AX18" s="5">
        <v>99999</v>
      </c>
      <c r="AY18" s="5">
        <v>99999</v>
      </c>
      <c r="AZ18" s="5">
        <v>99999</v>
      </c>
      <c r="BA18" s="5">
        <v>99999</v>
      </c>
      <c r="BB18" s="5">
        <v>99999</v>
      </c>
      <c r="BC18" s="5">
        <v>0</v>
      </c>
      <c r="BD18" s="5">
        <v>0</v>
      </c>
      <c r="BE18" s="5">
        <v>100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21">
        <v>33661</v>
      </c>
      <c r="BW18" s="5">
        <v>33662</v>
      </c>
      <c r="BX18" s="21">
        <v>33663</v>
      </c>
      <c r="BY18" s="5">
        <v>33664</v>
      </c>
      <c r="BZ18" s="21">
        <v>33665</v>
      </c>
      <c r="CA18" s="5">
        <v>33666</v>
      </c>
      <c r="CB18" s="21">
        <v>33667</v>
      </c>
      <c r="CC18" s="6" t="s">
        <v>12</v>
      </c>
      <c r="CD18" s="6" t="s">
        <v>544</v>
      </c>
    </row>
    <row r="19" spans="1:82" x14ac:dyDescent="0.15">
      <c r="A19" s="6">
        <v>17</v>
      </c>
      <c r="B19" s="5">
        <v>2012</v>
      </c>
      <c r="C19" s="5">
        <v>85</v>
      </c>
      <c r="D19" s="5">
        <v>302</v>
      </c>
      <c r="E19" s="21">
        <v>51.51</v>
      </c>
      <c r="F19" s="5">
        <v>0.13</v>
      </c>
      <c r="G19">
        <v>11557.642</v>
      </c>
      <c r="H19" s="5">
        <v>8</v>
      </c>
      <c r="I19" s="5">
        <v>1</v>
      </c>
      <c r="J19" s="5">
        <v>0</v>
      </c>
      <c r="K19" s="5">
        <v>0</v>
      </c>
      <c r="L19">
        <v>0.15179999999999999</v>
      </c>
      <c r="M19">
        <v>9.3600000000000003E-2</v>
      </c>
      <c r="N19">
        <v>4.3999999999999997E-2</v>
      </c>
      <c r="O19">
        <v>0.17599999999999999</v>
      </c>
      <c r="P19">
        <v>0.3931</v>
      </c>
      <c r="Q19">
        <v>0.1113</v>
      </c>
      <c r="R19">
        <v>3.0099999999999998E-2</v>
      </c>
      <c r="S19" s="5">
        <v>0</v>
      </c>
      <c r="T19" s="5">
        <v>0</v>
      </c>
      <c r="U19" s="5">
        <v>0</v>
      </c>
      <c r="V19" s="5">
        <v>10</v>
      </c>
      <c r="W19" s="5">
        <v>8</v>
      </c>
      <c r="X19" s="5">
        <v>8</v>
      </c>
      <c r="Y19" s="5">
        <v>-999</v>
      </c>
      <c r="Z19" s="5">
        <v>-999</v>
      </c>
      <c r="AA19" s="5">
        <v>-999</v>
      </c>
      <c r="AB19" s="5">
        <v>-999</v>
      </c>
      <c r="AC19" s="5">
        <v>-999</v>
      </c>
      <c r="AD19" s="67">
        <v>26.706831722249227</v>
      </c>
      <c r="AE19" s="67">
        <v>23.701720472047846</v>
      </c>
      <c r="AF19" s="5">
        <v>33661</v>
      </c>
      <c r="AG19" s="5">
        <v>33662</v>
      </c>
      <c r="AH19" s="5">
        <v>33661</v>
      </c>
      <c r="AI19" s="5">
        <v>33662</v>
      </c>
      <c r="AJ19" s="5">
        <v>33663</v>
      </c>
      <c r="AK19" s="5">
        <v>33663</v>
      </c>
      <c r="AL19" s="5">
        <v>33661</v>
      </c>
      <c r="AM19" s="5">
        <v>0.25</v>
      </c>
      <c r="AN19" s="5">
        <v>1</v>
      </c>
      <c r="AO19" s="5">
        <v>10</v>
      </c>
      <c r="AP19" s="5">
        <v>1</v>
      </c>
      <c r="AQ19" s="5">
        <v>100</v>
      </c>
      <c r="AR19" s="5">
        <v>33660</v>
      </c>
      <c r="AS19" s="5">
        <v>99999</v>
      </c>
      <c r="AT19" s="5">
        <v>99999</v>
      </c>
      <c r="AU19" s="5">
        <v>33661</v>
      </c>
      <c r="AV19" s="5">
        <v>33661</v>
      </c>
      <c r="AW19" s="5">
        <v>33662</v>
      </c>
      <c r="AX19" s="5">
        <v>99999</v>
      </c>
      <c r="AY19" s="5">
        <v>99999</v>
      </c>
      <c r="AZ19" s="5">
        <v>99999</v>
      </c>
      <c r="BA19" s="5">
        <v>99999</v>
      </c>
      <c r="BB19" s="5">
        <v>99999</v>
      </c>
      <c r="BC19" s="5">
        <v>0</v>
      </c>
      <c r="BD19" s="5">
        <v>0</v>
      </c>
      <c r="BE19" s="5">
        <v>100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21">
        <v>33661</v>
      </c>
      <c r="BW19" s="5">
        <v>33662</v>
      </c>
      <c r="BX19" s="21">
        <v>33663</v>
      </c>
      <c r="BY19" s="5">
        <v>33664</v>
      </c>
      <c r="BZ19" s="21">
        <v>33665</v>
      </c>
      <c r="CA19" s="5">
        <v>33666</v>
      </c>
      <c r="CB19" s="21">
        <v>33667</v>
      </c>
      <c r="CC19" s="6" t="s">
        <v>12</v>
      </c>
      <c r="CD19" s="6" t="s">
        <v>545</v>
      </c>
    </row>
    <row r="20" spans="1:82" x14ac:dyDescent="0.15">
      <c r="A20" s="6">
        <v>18</v>
      </c>
      <c r="B20" s="5">
        <v>2012</v>
      </c>
      <c r="C20" s="5">
        <v>85</v>
      </c>
      <c r="D20" s="5">
        <v>302</v>
      </c>
      <c r="E20" s="21">
        <v>51.51</v>
      </c>
      <c r="F20" s="5">
        <v>0.13</v>
      </c>
      <c r="G20">
        <v>5670.7250000000004</v>
      </c>
      <c r="H20" s="5">
        <v>8</v>
      </c>
      <c r="I20" s="5">
        <v>1</v>
      </c>
      <c r="J20" s="5">
        <v>0</v>
      </c>
      <c r="K20" s="5">
        <v>0</v>
      </c>
      <c r="L20">
        <v>0.19700000000000001</v>
      </c>
      <c r="M20">
        <v>0.1381</v>
      </c>
      <c r="N20">
        <v>3.95E-2</v>
      </c>
      <c r="O20">
        <v>0.15790000000000001</v>
      </c>
      <c r="P20">
        <v>0.3387</v>
      </c>
      <c r="Q20">
        <v>9.64E-2</v>
      </c>
      <c r="R20">
        <v>3.2399999999999998E-2</v>
      </c>
      <c r="S20" s="5">
        <v>0</v>
      </c>
      <c r="T20" s="5">
        <v>0</v>
      </c>
      <c r="U20" s="5">
        <v>0</v>
      </c>
      <c r="V20" s="5">
        <v>10</v>
      </c>
      <c r="W20" s="5">
        <v>8</v>
      </c>
      <c r="X20" s="5">
        <v>8</v>
      </c>
      <c r="Y20" s="5">
        <v>-999</v>
      </c>
      <c r="Z20" s="5">
        <v>-999</v>
      </c>
      <c r="AA20" s="5">
        <v>-999</v>
      </c>
      <c r="AB20" s="5">
        <v>-999</v>
      </c>
      <c r="AC20" s="5">
        <v>-999</v>
      </c>
      <c r="AD20" s="67">
        <v>45.111163034708966</v>
      </c>
      <c r="AE20" s="67">
        <v>44.783868023929919</v>
      </c>
      <c r="AF20" s="5">
        <v>33661</v>
      </c>
      <c r="AG20" s="5">
        <v>33662</v>
      </c>
      <c r="AH20" s="5">
        <v>33661</v>
      </c>
      <c r="AI20" s="5">
        <v>33662</v>
      </c>
      <c r="AJ20" s="5">
        <v>33663</v>
      </c>
      <c r="AK20" s="5">
        <v>33663</v>
      </c>
      <c r="AL20" s="5">
        <v>33661</v>
      </c>
      <c r="AM20" s="5">
        <v>0.25</v>
      </c>
      <c r="AN20" s="5">
        <v>1</v>
      </c>
      <c r="AO20" s="5">
        <v>10</v>
      </c>
      <c r="AP20" s="5">
        <v>1</v>
      </c>
      <c r="AQ20" s="5">
        <v>100</v>
      </c>
      <c r="AR20" s="5">
        <v>33660</v>
      </c>
      <c r="AS20" s="5">
        <v>99999</v>
      </c>
      <c r="AT20" s="5">
        <v>99999</v>
      </c>
      <c r="AU20" s="5">
        <v>33661</v>
      </c>
      <c r="AV20" s="5">
        <v>33661</v>
      </c>
      <c r="AW20" s="5">
        <v>33662</v>
      </c>
      <c r="AX20" s="5">
        <v>99999</v>
      </c>
      <c r="AY20" s="5">
        <v>99999</v>
      </c>
      <c r="AZ20" s="5">
        <v>99999</v>
      </c>
      <c r="BA20" s="5">
        <v>99999</v>
      </c>
      <c r="BB20" s="5">
        <v>99999</v>
      </c>
      <c r="BC20" s="5">
        <v>0</v>
      </c>
      <c r="BD20" s="5">
        <v>0</v>
      </c>
      <c r="BE20" s="5">
        <v>100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21">
        <v>33661</v>
      </c>
      <c r="BW20" s="5">
        <v>33662</v>
      </c>
      <c r="BX20" s="21">
        <v>33663</v>
      </c>
      <c r="BY20" s="5">
        <v>33664</v>
      </c>
      <c r="BZ20" s="21">
        <v>33665</v>
      </c>
      <c r="CA20" s="5">
        <v>33666</v>
      </c>
      <c r="CB20" s="21">
        <v>33667</v>
      </c>
      <c r="CC20" s="6" t="s">
        <v>12</v>
      </c>
      <c r="CD20" s="6" t="s">
        <v>546</v>
      </c>
    </row>
    <row r="21" spans="1:82" x14ac:dyDescent="0.15">
      <c r="A21" s="6">
        <v>19</v>
      </c>
      <c r="B21" s="5">
        <v>2012</v>
      </c>
      <c r="C21" s="5">
        <v>85</v>
      </c>
      <c r="D21" s="5">
        <v>302</v>
      </c>
      <c r="E21" s="21">
        <v>51.51</v>
      </c>
      <c r="F21" s="5">
        <v>0.13</v>
      </c>
      <c r="G21">
        <v>1483.8219999999999</v>
      </c>
      <c r="H21" s="5">
        <v>8</v>
      </c>
      <c r="I21" s="5">
        <v>1</v>
      </c>
      <c r="J21" s="5">
        <v>0</v>
      </c>
      <c r="K21" s="5">
        <v>0</v>
      </c>
      <c r="L21">
        <v>0.3165</v>
      </c>
      <c r="M21">
        <v>0.29459999999999997</v>
      </c>
      <c r="N21">
        <v>2.0400000000000001E-2</v>
      </c>
      <c r="O21">
        <v>8.1600000000000006E-2</v>
      </c>
      <c r="P21">
        <v>0.15</v>
      </c>
      <c r="Q21">
        <v>0.1343</v>
      </c>
      <c r="R21">
        <v>2.7000000000000001E-3</v>
      </c>
      <c r="S21" s="5">
        <v>0</v>
      </c>
      <c r="T21" s="5">
        <v>0</v>
      </c>
      <c r="U21" s="5">
        <v>0</v>
      </c>
      <c r="V21" s="5">
        <v>10</v>
      </c>
      <c r="W21" s="5">
        <v>8</v>
      </c>
      <c r="X21" s="5">
        <v>8</v>
      </c>
      <c r="Y21" s="5">
        <v>-999</v>
      </c>
      <c r="Z21" s="5">
        <v>-999</v>
      </c>
      <c r="AA21" s="5">
        <v>-999</v>
      </c>
      <c r="AB21" s="5">
        <v>-999</v>
      </c>
      <c r="AC21" s="5">
        <v>-999</v>
      </c>
      <c r="AD21" s="67">
        <v>179.79110701957515</v>
      </c>
      <c r="AE21" s="67">
        <v>138.91491027899573</v>
      </c>
      <c r="AF21" s="5">
        <v>33661</v>
      </c>
      <c r="AG21" s="5">
        <v>33662</v>
      </c>
      <c r="AH21" s="5">
        <v>33661</v>
      </c>
      <c r="AI21" s="5">
        <v>33662</v>
      </c>
      <c r="AJ21" s="5">
        <v>33663</v>
      </c>
      <c r="AK21" s="5">
        <v>33663</v>
      </c>
      <c r="AL21" s="5">
        <v>33661</v>
      </c>
      <c r="AM21" s="5">
        <v>0.25</v>
      </c>
      <c r="AN21" s="5">
        <v>1</v>
      </c>
      <c r="AO21" s="5">
        <v>10</v>
      </c>
      <c r="AP21" s="5">
        <v>1</v>
      </c>
      <c r="AQ21" s="5">
        <v>100</v>
      </c>
      <c r="AR21" s="5">
        <v>33660</v>
      </c>
      <c r="AS21" s="5">
        <v>99999</v>
      </c>
      <c r="AT21" s="5">
        <v>99999</v>
      </c>
      <c r="AU21" s="5">
        <v>33661</v>
      </c>
      <c r="AV21" s="5">
        <v>33661</v>
      </c>
      <c r="AW21" s="5">
        <v>33662</v>
      </c>
      <c r="AX21" s="5">
        <v>99999</v>
      </c>
      <c r="AY21" s="5">
        <v>99999</v>
      </c>
      <c r="AZ21" s="5">
        <v>99999</v>
      </c>
      <c r="BA21" s="5">
        <v>99999</v>
      </c>
      <c r="BB21" s="5">
        <v>99999</v>
      </c>
      <c r="BC21" s="5">
        <v>0</v>
      </c>
      <c r="BD21" s="5">
        <v>0</v>
      </c>
      <c r="BE21" s="5">
        <v>100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21">
        <v>33661</v>
      </c>
      <c r="BW21" s="5">
        <v>33662</v>
      </c>
      <c r="BX21" s="21">
        <v>33663</v>
      </c>
      <c r="BY21" s="5">
        <v>33664</v>
      </c>
      <c r="BZ21" s="21">
        <v>33665</v>
      </c>
      <c r="CA21" s="5">
        <v>33666</v>
      </c>
      <c r="CB21" s="21">
        <v>33667</v>
      </c>
      <c r="CC21" s="6" t="s">
        <v>12</v>
      </c>
      <c r="CD21" s="6" t="s">
        <v>547</v>
      </c>
    </row>
    <row r="22" spans="1:82" x14ac:dyDescent="0.15">
      <c r="A22" s="6">
        <v>20</v>
      </c>
      <c r="B22" s="5">
        <v>2012</v>
      </c>
      <c r="C22" s="5">
        <v>85</v>
      </c>
      <c r="D22" s="5">
        <v>302</v>
      </c>
      <c r="E22" s="21">
        <v>51.51</v>
      </c>
      <c r="F22" s="5">
        <v>0.13</v>
      </c>
      <c r="G22">
        <v>1236.6600000000001</v>
      </c>
      <c r="H22" s="5">
        <v>8</v>
      </c>
      <c r="I22" s="5">
        <v>1</v>
      </c>
      <c r="J22" s="5">
        <v>0</v>
      </c>
      <c r="K22" s="5">
        <v>0</v>
      </c>
      <c r="L22">
        <v>0.31190000000000001</v>
      </c>
      <c r="M22">
        <v>0.31269999999999998</v>
      </c>
      <c r="N22">
        <v>2.0799999999999999E-2</v>
      </c>
      <c r="O22">
        <v>8.3199999999999996E-2</v>
      </c>
      <c r="P22">
        <v>0.16070000000000001</v>
      </c>
      <c r="Q22">
        <v>8.5999999999999993E-2</v>
      </c>
      <c r="R22">
        <v>2.47E-2</v>
      </c>
      <c r="S22" s="5">
        <v>0</v>
      </c>
      <c r="T22" s="5">
        <v>0</v>
      </c>
      <c r="U22" s="5">
        <v>0</v>
      </c>
      <c r="V22" s="5">
        <v>10</v>
      </c>
      <c r="W22" s="5">
        <v>8</v>
      </c>
      <c r="X22" s="5">
        <v>8</v>
      </c>
      <c r="Y22" s="5">
        <v>-999</v>
      </c>
      <c r="Z22" s="5">
        <v>-999</v>
      </c>
      <c r="AA22" s="5">
        <v>-999</v>
      </c>
      <c r="AB22" s="5">
        <v>-999</v>
      </c>
      <c r="AC22" s="5">
        <v>-999</v>
      </c>
      <c r="AD22" s="67">
        <v>156.71647825594746</v>
      </c>
      <c r="AE22" s="67">
        <v>128.28829265925961</v>
      </c>
      <c r="AF22" s="5">
        <v>33661</v>
      </c>
      <c r="AG22" s="5">
        <v>33662</v>
      </c>
      <c r="AH22" s="5">
        <v>33661</v>
      </c>
      <c r="AI22" s="5">
        <v>33662</v>
      </c>
      <c r="AJ22" s="5">
        <v>33663</v>
      </c>
      <c r="AK22" s="5">
        <v>33663</v>
      </c>
      <c r="AL22" s="5">
        <v>33661</v>
      </c>
      <c r="AM22" s="5">
        <v>0.25</v>
      </c>
      <c r="AN22" s="5">
        <v>1</v>
      </c>
      <c r="AO22" s="5">
        <v>10</v>
      </c>
      <c r="AP22" s="5">
        <v>1</v>
      </c>
      <c r="AQ22" s="5">
        <v>100</v>
      </c>
      <c r="AR22" s="5">
        <v>33660</v>
      </c>
      <c r="AS22" s="5">
        <v>99999</v>
      </c>
      <c r="AT22" s="5">
        <v>99999</v>
      </c>
      <c r="AU22" s="5">
        <v>33661</v>
      </c>
      <c r="AV22" s="5">
        <v>33661</v>
      </c>
      <c r="AW22" s="5">
        <v>33662</v>
      </c>
      <c r="AX22" s="5">
        <v>99999</v>
      </c>
      <c r="AY22" s="5">
        <v>99999</v>
      </c>
      <c r="AZ22" s="5">
        <v>99999</v>
      </c>
      <c r="BA22" s="5">
        <v>99999</v>
      </c>
      <c r="BB22" s="5">
        <v>99999</v>
      </c>
      <c r="BC22" s="5">
        <v>0</v>
      </c>
      <c r="BD22" s="5">
        <v>0</v>
      </c>
      <c r="BE22" s="5">
        <v>100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21">
        <v>33661</v>
      </c>
      <c r="BW22" s="5">
        <v>33662</v>
      </c>
      <c r="BX22" s="21">
        <v>33663</v>
      </c>
      <c r="BY22" s="5">
        <v>33664</v>
      </c>
      <c r="BZ22" s="21">
        <v>33665</v>
      </c>
      <c r="CA22" s="5">
        <v>33666</v>
      </c>
      <c r="CB22" s="21">
        <v>33667</v>
      </c>
      <c r="CC22" s="6" t="s">
        <v>12</v>
      </c>
      <c r="CD22" s="6" t="s">
        <v>548</v>
      </c>
    </row>
    <row r="23" spans="1:82" x14ac:dyDescent="0.15">
      <c r="A23" s="6">
        <v>21</v>
      </c>
      <c r="B23" s="5">
        <v>2012</v>
      </c>
      <c r="C23" s="5">
        <v>85</v>
      </c>
      <c r="D23" s="5">
        <v>302</v>
      </c>
      <c r="E23" s="21">
        <v>51.51</v>
      </c>
      <c r="F23" s="5">
        <v>0.13</v>
      </c>
      <c r="G23">
        <v>3723.7359999999999</v>
      </c>
      <c r="H23" s="5">
        <v>8</v>
      </c>
      <c r="I23" s="5">
        <v>1</v>
      </c>
      <c r="J23" s="5">
        <v>0</v>
      </c>
      <c r="K23" s="5">
        <v>0</v>
      </c>
      <c r="L23">
        <v>0.21970000000000001</v>
      </c>
      <c r="M23">
        <v>0.14199999999999999</v>
      </c>
      <c r="N23">
        <v>4.3200000000000002E-2</v>
      </c>
      <c r="O23">
        <v>0.17280000000000001</v>
      </c>
      <c r="P23">
        <v>0.34920000000000001</v>
      </c>
      <c r="Q23">
        <v>6.5799999999999997E-2</v>
      </c>
      <c r="R23">
        <v>7.3000000000000001E-3</v>
      </c>
      <c r="S23" s="5">
        <v>0</v>
      </c>
      <c r="T23" s="5">
        <v>0</v>
      </c>
      <c r="U23" s="5">
        <v>0</v>
      </c>
      <c r="V23" s="5">
        <v>10</v>
      </c>
      <c r="W23" s="5">
        <v>8</v>
      </c>
      <c r="X23" s="5">
        <v>8</v>
      </c>
      <c r="Y23" s="5">
        <v>-999</v>
      </c>
      <c r="Z23" s="5">
        <v>-999</v>
      </c>
      <c r="AA23" s="5">
        <v>-999</v>
      </c>
      <c r="AB23" s="5">
        <v>-999</v>
      </c>
      <c r="AC23" s="5">
        <v>-999</v>
      </c>
      <c r="AD23" s="67">
        <v>40.432243316926872</v>
      </c>
      <c r="AE23" s="67">
        <v>42.983713131113483</v>
      </c>
      <c r="AF23" s="5">
        <v>33661</v>
      </c>
      <c r="AG23" s="5">
        <v>33662</v>
      </c>
      <c r="AH23" s="5">
        <v>33661</v>
      </c>
      <c r="AI23" s="5">
        <v>33662</v>
      </c>
      <c r="AJ23" s="5">
        <v>33663</v>
      </c>
      <c r="AK23" s="5">
        <v>33663</v>
      </c>
      <c r="AL23" s="5">
        <v>33661</v>
      </c>
      <c r="AM23" s="5">
        <v>0.25</v>
      </c>
      <c r="AN23" s="5">
        <v>1</v>
      </c>
      <c r="AO23" s="5">
        <v>10</v>
      </c>
      <c r="AP23" s="5">
        <v>1</v>
      </c>
      <c r="AQ23" s="5">
        <v>100</v>
      </c>
      <c r="AR23" s="5">
        <v>33660</v>
      </c>
      <c r="AS23" s="5">
        <v>99999</v>
      </c>
      <c r="AT23" s="5">
        <v>99999</v>
      </c>
      <c r="AU23" s="5">
        <v>33661</v>
      </c>
      <c r="AV23" s="5">
        <v>33661</v>
      </c>
      <c r="AW23" s="5">
        <v>33662</v>
      </c>
      <c r="AX23" s="5">
        <v>99999</v>
      </c>
      <c r="AY23" s="5">
        <v>99999</v>
      </c>
      <c r="AZ23" s="5">
        <v>99999</v>
      </c>
      <c r="BA23" s="5">
        <v>99999</v>
      </c>
      <c r="BB23" s="5">
        <v>99999</v>
      </c>
      <c r="BC23" s="5">
        <v>0</v>
      </c>
      <c r="BD23" s="5">
        <v>0</v>
      </c>
      <c r="BE23" s="5">
        <v>100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21">
        <v>33661</v>
      </c>
      <c r="BW23" s="5">
        <v>33662</v>
      </c>
      <c r="BX23" s="21">
        <v>33663</v>
      </c>
      <c r="BY23" s="5">
        <v>33664</v>
      </c>
      <c r="BZ23" s="21">
        <v>33665</v>
      </c>
      <c r="CA23" s="5">
        <v>33666</v>
      </c>
      <c r="CB23" s="21">
        <v>33667</v>
      </c>
      <c r="CC23" s="6" t="s">
        <v>12</v>
      </c>
      <c r="CD23" s="6" t="s">
        <v>549</v>
      </c>
    </row>
    <row r="24" spans="1:82" x14ac:dyDescent="0.15">
      <c r="A24" s="6">
        <v>22</v>
      </c>
      <c r="B24" s="5">
        <v>2012</v>
      </c>
      <c r="C24" s="5">
        <v>85</v>
      </c>
      <c r="D24" s="5">
        <v>302</v>
      </c>
      <c r="E24" s="21">
        <v>51.51</v>
      </c>
      <c r="F24" s="5">
        <v>0.13</v>
      </c>
      <c r="G24">
        <v>2698.096</v>
      </c>
      <c r="H24" s="5">
        <v>8</v>
      </c>
      <c r="I24" s="5">
        <v>1</v>
      </c>
      <c r="J24" s="5">
        <v>0</v>
      </c>
      <c r="K24" s="5">
        <v>0</v>
      </c>
      <c r="L24">
        <v>0.2923</v>
      </c>
      <c r="M24">
        <v>0.24979999999999999</v>
      </c>
      <c r="N24">
        <v>2.75E-2</v>
      </c>
      <c r="O24">
        <v>0.11</v>
      </c>
      <c r="P24">
        <v>0.20399999999999999</v>
      </c>
      <c r="Q24">
        <v>0.1074</v>
      </c>
      <c r="R24">
        <v>9.1999999999999998E-3</v>
      </c>
      <c r="S24" s="5">
        <v>0</v>
      </c>
      <c r="T24" s="5">
        <v>0</v>
      </c>
      <c r="U24" s="5">
        <v>0</v>
      </c>
      <c r="V24" s="5">
        <v>10</v>
      </c>
      <c r="W24" s="5">
        <v>8</v>
      </c>
      <c r="X24" s="5">
        <v>8</v>
      </c>
      <c r="Y24" s="5">
        <v>-999</v>
      </c>
      <c r="Z24" s="5">
        <v>-999</v>
      </c>
      <c r="AA24" s="5">
        <v>-999</v>
      </c>
      <c r="AB24" s="5">
        <v>-999</v>
      </c>
      <c r="AC24" s="5">
        <v>-999</v>
      </c>
      <c r="AD24" s="67">
        <v>101.61239629724072</v>
      </c>
      <c r="AE24" s="67">
        <v>112.33328984587649</v>
      </c>
      <c r="AF24" s="5">
        <v>33661</v>
      </c>
      <c r="AG24" s="5">
        <v>33662</v>
      </c>
      <c r="AH24" s="5">
        <v>33661</v>
      </c>
      <c r="AI24" s="5">
        <v>33662</v>
      </c>
      <c r="AJ24" s="5">
        <v>33663</v>
      </c>
      <c r="AK24" s="5">
        <v>33663</v>
      </c>
      <c r="AL24" s="5">
        <v>33661</v>
      </c>
      <c r="AM24" s="5">
        <v>0.25</v>
      </c>
      <c r="AN24" s="5">
        <v>1</v>
      </c>
      <c r="AO24" s="5">
        <v>10</v>
      </c>
      <c r="AP24" s="5">
        <v>1</v>
      </c>
      <c r="AQ24" s="5">
        <v>100</v>
      </c>
      <c r="AR24" s="5">
        <v>33660</v>
      </c>
      <c r="AS24" s="5">
        <v>99999</v>
      </c>
      <c r="AT24" s="5">
        <v>99999</v>
      </c>
      <c r="AU24" s="5">
        <v>33661</v>
      </c>
      <c r="AV24" s="5">
        <v>33661</v>
      </c>
      <c r="AW24" s="5">
        <v>33662</v>
      </c>
      <c r="AX24" s="5">
        <v>99999</v>
      </c>
      <c r="AY24" s="5">
        <v>99999</v>
      </c>
      <c r="AZ24" s="5">
        <v>99999</v>
      </c>
      <c r="BA24" s="5">
        <v>99999</v>
      </c>
      <c r="BB24" s="5">
        <v>99999</v>
      </c>
      <c r="BC24" s="5">
        <v>0</v>
      </c>
      <c r="BD24" s="5">
        <v>0</v>
      </c>
      <c r="BE24" s="5">
        <v>100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21">
        <v>33661</v>
      </c>
      <c r="BW24" s="5">
        <v>33662</v>
      </c>
      <c r="BX24" s="21">
        <v>33663</v>
      </c>
      <c r="BY24" s="5">
        <v>33664</v>
      </c>
      <c r="BZ24" s="21">
        <v>33665</v>
      </c>
      <c r="CA24" s="5">
        <v>33666</v>
      </c>
      <c r="CB24" s="21">
        <v>33667</v>
      </c>
      <c r="CC24" s="6" t="s">
        <v>12</v>
      </c>
      <c r="CD24" s="6" t="s">
        <v>550</v>
      </c>
    </row>
    <row r="25" spans="1:82" x14ac:dyDescent="0.15">
      <c r="A25" s="6">
        <v>23</v>
      </c>
      <c r="B25" s="5">
        <v>2012</v>
      </c>
      <c r="C25" s="5">
        <v>85</v>
      </c>
      <c r="D25" s="5">
        <v>302</v>
      </c>
      <c r="E25" s="21">
        <v>51.51</v>
      </c>
      <c r="F25" s="5">
        <v>0.13</v>
      </c>
      <c r="G25">
        <v>3521.8739999999998</v>
      </c>
      <c r="H25" s="5">
        <v>8</v>
      </c>
      <c r="I25" s="5">
        <v>1</v>
      </c>
      <c r="J25" s="5">
        <v>0</v>
      </c>
      <c r="K25" s="5">
        <v>0</v>
      </c>
      <c r="L25">
        <v>0.28589999999999999</v>
      </c>
      <c r="M25">
        <v>0.19400000000000001</v>
      </c>
      <c r="N25">
        <v>3.4200000000000001E-2</v>
      </c>
      <c r="O25">
        <v>0.1366</v>
      </c>
      <c r="P25">
        <v>0.25679999999999997</v>
      </c>
      <c r="Q25">
        <v>8.8499999999999995E-2</v>
      </c>
      <c r="R25">
        <v>4.0000000000000001E-3</v>
      </c>
      <c r="S25" s="5">
        <v>0</v>
      </c>
      <c r="T25" s="5">
        <v>0</v>
      </c>
      <c r="U25" s="5">
        <v>0</v>
      </c>
      <c r="V25" s="5">
        <v>10</v>
      </c>
      <c r="W25" s="5">
        <v>8</v>
      </c>
      <c r="X25" s="5">
        <v>8</v>
      </c>
      <c r="Y25" s="5">
        <v>-999</v>
      </c>
      <c r="Z25" s="5">
        <v>-999</v>
      </c>
      <c r="AA25" s="5">
        <v>-999</v>
      </c>
      <c r="AB25" s="5">
        <v>-999</v>
      </c>
      <c r="AC25" s="5">
        <v>-999</v>
      </c>
      <c r="AD25" s="67">
        <v>62.068660037241543</v>
      </c>
      <c r="AE25" s="67">
        <v>78.334716119883907</v>
      </c>
      <c r="AF25" s="5">
        <v>33661</v>
      </c>
      <c r="AG25" s="5">
        <v>33662</v>
      </c>
      <c r="AH25" s="5">
        <v>33661</v>
      </c>
      <c r="AI25" s="5">
        <v>33662</v>
      </c>
      <c r="AJ25" s="5">
        <v>33663</v>
      </c>
      <c r="AK25" s="5">
        <v>33663</v>
      </c>
      <c r="AL25" s="5">
        <v>33661</v>
      </c>
      <c r="AM25" s="5">
        <v>0.25</v>
      </c>
      <c r="AN25" s="5">
        <v>1</v>
      </c>
      <c r="AO25" s="5">
        <v>10</v>
      </c>
      <c r="AP25" s="5">
        <v>1</v>
      </c>
      <c r="AQ25" s="5">
        <v>100</v>
      </c>
      <c r="AR25" s="5">
        <v>33660</v>
      </c>
      <c r="AS25" s="5">
        <v>99999</v>
      </c>
      <c r="AT25" s="5">
        <v>99999</v>
      </c>
      <c r="AU25" s="5">
        <v>33661</v>
      </c>
      <c r="AV25" s="5">
        <v>33661</v>
      </c>
      <c r="AW25" s="5">
        <v>33662</v>
      </c>
      <c r="AX25" s="5">
        <v>99999</v>
      </c>
      <c r="AY25" s="5">
        <v>99999</v>
      </c>
      <c r="AZ25" s="5">
        <v>99999</v>
      </c>
      <c r="BA25" s="5">
        <v>99999</v>
      </c>
      <c r="BB25" s="5">
        <v>99999</v>
      </c>
      <c r="BC25" s="5">
        <v>0</v>
      </c>
      <c r="BD25" s="5">
        <v>0</v>
      </c>
      <c r="BE25" s="5">
        <v>100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21">
        <v>33661</v>
      </c>
      <c r="BW25" s="5">
        <v>33662</v>
      </c>
      <c r="BX25" s="21">
        <v>33663</v>
      </c>
      <c r="BY25" s="5">
        <v>33664</v>
      </c>
      <c r="BZ25" s="21">
        <v>33665</v>
      </c>
      <c r="CA25" s="5">
        <v>33666</v>
      </c>
      <c r="CB25" s="21">
        <v>33667</v>
      </c>
      <c r="CC25" s="6" t="s">
        <v>12</v>
      </c>
      <c r="CD25" s="6" t="s">
        <v>551</v>
      </c>
    </row>
    <row r="26" spans="1:82" x14ac:dyDescent="0.15">
      <c r="A26" s="6">
        <v>24</v>
      </c>
      <c r="B26" s="5">
        <v>2012</v>
      </c>
      <c r="C26" s="5">
        <v>85</v>
      </c>
      <c r="D26" s="5">
        <v>302</v>
      </c>
      <c r="E26" s="21">
        <v>51.51</v>
      </c>
      <c r="F26" s="5">
        <v>0.13</v>
      </c>
      <c r="G26">
        <v>3751.7959999999998</v>
      </c>
      <c r="H26" s="5">
        <v>8</v>
      </c>
      <c r="I26" s="5">
        <v>1</v>
      </c>
      <c r="J26" s="5">
        <v>0</v>
      </c>
      <c r="K26" s="5">
        <v>0</v>
      </c>
      <c r="L26">
        <v>0.22439999999999999</v>
      </c>
      <c r="M26">
        <v>0.16209999999999999</v>
      </c>
      <c r="N26">
        <v>3.9699999999999999E-2</v>
      </c>
      <c r="O26">
        <v>0.15859999999999999</v>
      </c>
      <c r="P26">
        <v>0.3241</v>
      </c>
      <c r="Q26">
        <v>8.3699999999999997E-2</v>
      </c>
      <c r="R26">
        <v>7.4000000000000003E-3</v>
      </c>
      <c r="S26" s="5">
        <v>0</v>
      </c>
      <c r="T26" s="5">
        <v>0</v>
      </c>
      <c r="U26" s="5">
        <v>0</v>
      </c>
      <c r="V26" s="5">
        <v>10</v>
      </c>
      <c r="W26" s="5">
        <v>8</v>
      </c>
      <c r="X26" s="5">
        <v>8</v>
      </c>
      <c r="Y26" s="5">
        <v>-999</v>
      </c>
      <c r="Z26" s="5">
        <v>-999</v>
      </c>
      <c r="AA26" s="5">
        <v>-999</v>
      </c>
      <c r="AB26" s="5">
        <v>-999</v>
      </c>
      <c r="AC26" s="5">
        <v>-999</v>
      </c>
      <c r="AD26" s="67">
        <v>45.32789096208856</v>
      </c>
      <c r="AE26" s="67">
        <v>53.225974973052907</v>
      </c>
      <c r="AF26" s="5">
        <v>33661</v>
      </c>
      <c r="AG26" s="5">
        <v>33662</v>
      </c>
      <c r="AH26" s="5">
        <v>33661</v>
      </c>
      <c r="AI26" s="5">
        <v>33662</v>
      </c>
      <c r="AJ26" s="5">
        <v>33663</v>
      </c>
      <c r="AK26" s="5">
        <v>33663</v>
      </c>
      <c r="AL26" s="5">
        <v>33661</v>
      </c>
      <c r="AM26" s="5">
        <v>0.25</v>
      </c>
      <c r="AN26" s="5">
        <v>1</v>
      </c>
      <c r="AO26" s="5">
        <v>10</v>
      </c>
      <c r="AP26" s="5">
        <v>1</v>
      </c>
      <c r="AQ26" s="5">
        <v>100</v>
      </c>
      <c r="AR26" s="5">
        <v>33660</v>
      </c>
      <c r="AS26" s="5">
        <v>99999</v>
      </c>
      <c r="AT26" s="5">
        <v>99999</v>
      </c>
      <c r="AU26" s="5">
        <v>33661</v>
      </c>
      <c r="AV26" s="5">
        <v>33661</v>
      </c>
      <c r="AW26" s="5">
        <v>33662</v>
      </c>
      <c r="AX26" s="5">
        <v>99999</v>
      </c>
      <c r="AY26" s="5">
        <v>99999</v>
      </c>
      <c r="AZ26" s="5">
        <v>99999</v>
      </c>
      <c r="BA26" s="5">
        <v>99999</v>
      </c>
      <c r="BB26" s="5">
        <v>99999</v>
      </c>
      <c r="BC26" s="5">
        <v>0</v>
      </c>
      <c r="BD26" s="5">
        <v>0</v>
      </c>
      <c r="BE26" s="5">
        <v>100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21">
        <v>33661</v>
      </c>
      <c r="BW26" s="5">
        <v>33662</v>
      </c>
      <c r="BX26" s="21">
        <v>33663</v>
      </c>
      <c r="BY26" s="5">
        <v>33664</v>
      </c>
      <c r="BZ26" s="21">
        <v>33665</v>
      </c>
      <c r="CA26" s="5">
        <v>33666</v>
      </c>
      <c r="CB26" s="21">
        <v>33667</v>
      </c>
      <c r="CC26" s="6" t="s">
        <v>12</v>
      </c>
      <c r="CD26" s="6" t="s">
        <v>552</v>
      </c>
    </row>
    <row r="27" spans="1:82" x14ac:dyDescent="0.15">
      <c r="A27" s="6">
        <v>25</v>
      </c>
      <c r="B27" s="5">
        <v>2012</v>
      </c>
      <c r="C27" s="5">
        <v>85</v>
      </c>
      <c r="D27" s="5">
        <v>302</v>
      </c>
      <c r="E27" s="21">
        <v>51.51</v>
      </c>
      <c r="F27" s="5">
        <v>0.13</v>
      </c>
      <c r="G27">
        <v>3681.6060000000002</v>
      </c>
      <c r="H27" s="5">
        <v>8</v>
      </c>
      <c r="I27" s="5">
        <v>1</v>
      </c>
      <c r="J27" s="5">
        <v>0</v>
      </c>
      <c r="K27" s="5">
        <v>0</v>
      </c>
      <c r="L27">
        <v>0.23780000000000001</v>
      </c>
      <c r="M27">
        <v>0.19109999999999999</v>
      </c>
      <c r="N27">
        <v>2.6200000000000001E-2</v>
      </c>
      <c r="O27">
        <v>0.1048</v>
      </c>
      <c r="P27">
        <v>0.2172</v>
      </c>
      <c r="Q27">
        <v>0.1691</v>
      </c>
      <c r="R27">
        <v>5.3900000000000003E-2</v>
      </c>
      <c r="S27" s="5">
        <v>0</v>
      </c>
      <c r="T27" s="5">
        <v>0</v>
      </c>
      <c r="U27" s="5">
        <v>0</v>
      </c>
      <c r="V27" s="5">
        <v>10</v>
      </c>
      <c r="W27" s="5">
        <v>8</v>
      </c>
      <c r="X27" s="5">
        <v>8</v>
      </c>
      <c r="Y27" s="5">
        <v>-999</v>
      </c>
      <c r="Z27" s="5">
        <v>-999</v>
      </c>
      <c r="AA27" s="5">
        <v>-999</v>
      </c>
      <c r="AB27" s="5">
        <v>-999</v>
      </c>
      <c r="AC27" s="5">
        <v>-999</v>
      </c>
      <c r="AD27" s="67">
        <v>75.900843273288885</v>
      </c>
      <c r="AE27" s="67">
        <v>83.654796303569682</v>
      </c>
      <c r="AF27" s="5">
        <v>33661</v>
      </c>
      <c r="AG27" s="5">
        <v>33662</v>
      </c>
      <c r="AH27" s="5">
        <v>33661</v>
      </c>
      <c r="AI27" s="5">
        <v>33662</v>
      </c>
      <c r="AJ27" s="5">
        <v>33663</v>
      </c>
      <c r="AK27" s="5">
        <v>33663</v>
      </c>
      <c r="AL27" s="5">
        <v>33661</v>
      </c>
      <c r="AM27" s="5">
        <v>0.25</v>
      </c>
      <c r="AN27" s="5">
        <v>1</v>
      </c>
      <c r="AO27" s="5">
        <v>10</v>
      </c>
      <c r="AP27" s="5">
        <v>1</v>
      </c>
      <c r="AQ27" s="5">
        <v>100</v>
      </c>
      <c r="AR27" s="5">
        <v>33660</v>
      </c>
      <c r="AS27" s="5">
        <v>99999</v>
      </c>
      <c r="AT27" s="5">
        <v>99999</v>
      </c>
      <c r="AU27" s="5">
        <v>33661</v>
      </c>
      <c r="AV27" s="5">
        <v>33661</v>
      </c>
      <c r="AW27" s="5">
        <v>33662</v>
      </c>
      <c r="AX27" s="5">
        <v>99999</v>
      </c>
      <c r="AY27" s="5">
        <v>99999</v>
      </c>
      <c r="AZ27" s="5">
        <v>99999</v>
      </c>
      <c r="BA27" s="5">
        <v>99999</v>
      </c>
      <c r="BB27" s="5">
        <v>99999</v>
      </c>
      <c r="BC27" s="5">
        <v>0</v>
      </c>
      <c r="BD27" s="5">
        <v>0</v>
      </c>
      <c r="BE27" s="5">
        <v>100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21">
        <v>33661</v>
      </c>
      <c r="BW27" s="5">
        <v>33662</v>
      </c>
      <c r="BX27" s="21">
        <v>33663</v>
      </c>
      <c r="BY27" s="5">
        <v>33664</v>
      </c>
      <c r="BZ27" s="21">
        <v>33665</v>
      </c>
      <c r="CA27" s="5">
        <v>33666</v>
      </c>
      <c r="CB27" s="21">
        <v>33667</v>
      </c>
      <c r="CC27" s="6" t="s">
        <v>12</v>
      </c>
      <c r="CD27" s="6" t="s">
        <v>553</v>
      </c>
    </row>
    <row r="28" spans="1:82" x14ac:dyDescent="0.15">
      <c r="A28" s="6">
        <v>26</v>
      </c>
      <c r="B28" s="5">
        <v>2012</v>
      </c>
      <c r="C28" s="5">
        <v>85</v>
      </c>
      <c r="D28" s="5">
        <v>302</v>
      </c>
      <c r="E28" s="21">
        <v>51.51</v>
      </c>
      <c r="F28" s="5">
        <v>0.13</v>
      </c>
      <c r="G28">
        <v>5652.4880000000003</v>
      </c>
      <c r="H28" s="5">
        <v>8</v>
      </c>
      <c r="I28" s="5">
        <v>1</v>
      </c>
      <c r="J28" s="5">
        <v>0</v>
      </c>
      <c r="K28" s="5">
        <v>0</v>
      </c>
      <c r="L28">
        <v>0.21460000000000001</v>
      </c>
      <c r="M28">
        <v>0.1348</v>
      </c>
      <c r="N28">
        <v>4.3799999999999999E-2</v>
      </c>
      <c r="O28">
        <v>0.17519999999999999</v>
      </c>
      <c r="P28">
        <v>0.3654</v>
      </c>
      <c r="Q28">
        <v>5.4100000000000002E-2</v>
      </c>
      <c r="R28">
        <v>1.21E-2</v>
      </c>
      <c r="S28" s="5">
        <v>0</v>
      </c>
      <c r="T28" s="5">
        <v>0</v>
      </c>
      <c r="U28" s="5">
        <v>0</v>
      </c>
      <c r="V28" s="5">
        <v>10</v>
      </c>
      <c r="W28" s="5">
        <v>8</v>
      </c>
      <c r="X28" s="5">
        <v>8</v>
      </c>
      <c r="Y28" s="5">
        <v>-999</v>
      </c>
      <c r="Z28" s="5">
        <v>-999</v>
      </c>
      <c r="AA28" s="5">
        <v>-999</v>
      </c>
      <c r="AB28" s="5">
        <v>-999</v>
      </c>
      <c r="AC28" s="5">
        <v>-999</v>
      </c>
      <c r="AD28" s="67">
        <v>41.224501493855449</v>
      </c>
      <c r="AE28" s="67">
        <v>49.353488233853831</v>
      </c>
      <c r="AF28" s="5">
        <v>33661</v>
      </c>
      <c r="AG28" s="5">
        <v>33662</v>
      </c>
      <c r="AH28" s="5">
        <v>33661</v>
      </c>
      <c r="AI28" s="5">
        <v>33662</v>
      </c>
      <c r="AJ28" s="5">
        <v>33663</v>
      </c>
      <c r="AK28" s="5">
        <v>33663</v>
      </c>
      <c r="AL28" s="5">
        <v>33661</v>
      </c>
      <c r="AM28" s="5">
        <v>0.25</v>
      </c>
      <c r="AN28" s="5">
        <v>1</v>
      </c>
      <c r="AO28" s="5">
        <v>10</v>
      </c>
      <c r="AP28" s="5">
        <v>1</v>
      </c>
      <c r="AQ28" s="5">
        <v>100</v>
      </c>
      <c r="AR28" s="5">
        <v>33660</v>
      </c>
      <c r="AS28" s="5">
        <v>99999</v>
      </c>
      <c r="AT28" s="5">
        <v>99999</v>
      </c>
      <c r="AU28" s="5">
        <v>33661</v>
      </c>
      <c r="AV28" s="5">
        <v>33661</v>
      </c>
      <c r="AW28" s="5">
        <v>33662</v>
      </c>
      <c r="AX28" s="5">
        <v>99999</v>
      </c>
      <c r="AY28" s="5">
        <v>99999</v>
      </c>
      <c r="AZ28" s="5">
        <v>99999</v>
      </c>
      <c r="BA28" s="5">
        <v>99999</v>
      </c>
      <c r="BB28" s="5">
        <v>99999</v>
      </c>
      <c r="BC28" s="5">
        <v>0</v>
      </c>
      <c r="BD28" s="5">
        <v>0</v>
      </c>
      <c r="BE28" s="5">
        <v>100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21">
        <v>33661</v>
      </c>
      <c r="BW28" s="5">
        <v>33662</v>
      </c>
      <c r="BX28" s="21">
        <v>33663</v>
      </c>
      <c r="BY28" s="5">
        <v>33664</v>
      </c>
      <c r="BZ28" s="21">
        <v>33665</v>
      </c>
      <c r="CA28" s="5">
        <v>33666</v>
      </c>
      <c r="CB28" s="21">
        <v>33667</v>
      </c>
      <c r="CC28" s="6" t="s">
        <v>12</v>
      </c>
      <c r="CD28" s="6" t="s">
        <v>554</v>
      </c>
    </row>
    <row r="29" spans="1:82" x14ac:dyDescent="0.15">
      <c r="A29" s="6">
        <v>27</v>
      </c>
      <c r="B29" s="5">
        <v>2012</v>
      </c>
      <c r="C29" s="5">
        <v>85</v>
      </c>
      <c r="D29" s="5">
        <v>302</v>
      </c>
      <c r="E29" s="21">
        <v>51.51</v>
      </c>
      <c r="F29" s="5">
        <v>0.13</v>
      </c>
      <c r="G29">
        <v>5855.2790000000005</v>
      </c>
      <c r="H29" s="5">
        <v>8</v>
      </c>
      <c r="I29" s="5">
        <v>1</v>
      </c>
      <c r="J29" s="5">
        <v>0</v>
      </c>
      <c r="K29" s="5">
        <v>0</v>
      </c>
      <c r="L29">
        <v>0.15959999999999999</v>
      </c>
      <c r="M29">
        <v>0.1065</v>
      </c>
      <c r="N29">
        <v>4.5499999999999999E-2</v>
      </c>
      <c r="O29">
        <v>0.182</v>
      </c>
      <c r="P29">
        <v>0.40610000000000002</v>
      </c>
      <c r="Q29">
        <v>5.4699999999999999E-2</v>
      </c>
      <c r="R29">
        <v>4.5600000000000002E-2</v>
      </c>
      <c r="S29" s="5">
        <v>0</v>
      </c>
      <c r="T29" s="5">
        <v>0</v>
      </c>
      <c r="U29" s="5">
        <v>0</v>
      </c>
      <c r="V29" s="5">
        <v>10</v>
      </c>
      <c r="W29" s="5">
        <v>8</v>
      </c>
      <c r="X29" s="5">
        <v>8</v>
      </c>
      <c r="Y29" s="5">
        <v>-999</v>
      </c>
      <c r="Z29" s="5">
        <v>-999</v>
      </c>
      <c r="AA29" s="5">
        <v>-999</v>
      </c>
      <c r="AB29" s="5">
        <v>-999</v>
      </c>
      <c r="AC29" s="5">
        <v>-999</v>
      </c>
      <c r="AD29" s="67">
        <v>28.373541209564905</v>
      </c>
      <c r="AE29" s="67">
        <v>31.93528438183731</v>
      </c>
      <c r="AF29" s="5">
        <v>33661</v>
      </c>
      <c r="AG29" s="5">
        <v>33662</v>
      </c>
      <c r="AH29" s="5">
        <v>33661</v>
      </c>
      <c r="AI29" s="5">
        <v>33662</v>
      </c>
      <c r="AJ29" s="5">
        <v>33663</v>
      </c>
      <c r="AK29" s="5">
        <v>33663</v>
      </c>
      <c r="AL29" s="5">
        <v>33661</v>
      </c>
      <c r="AM29" s="5">
        <v>0.25</v>
      </c>
      <c r="AN29" s="5">
        <v>1</v>
      </c>
      <c r="AO29" s="5">
        <v>10</v>
      </c>
      <c r="AP29" s="5">
        <v>1</v>
      </c>
      <c r="AQ29" s="5">
        <v>100</v>
      </c>
      <c r="AR29" s="5">
        <v>33660</v>
      </c>
      <c r="AS29" s="5">
        <v>99999</v>
      </c>
      <c r="AT29" s="5">
        <v>99999</v>
      </c>
      <c r="AU29" s="5">
        <v>33661</v>
      </c>
      <c r="AV29" s="5">
        <v>33661</v>
      </c>
      <c r="AW29" s="5">
        <v>33662</v>
      </c>
      <c r="AX29" s="5">
        <v>99999</v>
      </c>
      <c r="AY29" s="5">
        <v>99999</v>
      </c>
      <c r="AZ29" s="5">
        <v>99999</v>
      </c>
      <c r="BA29" s="5">
        <v>99999</v>
      </c>
      <c r="BB29" s="5">
        <v>99999</v>
      </c>
      <c r="BC29" s="5">
        <v>0</v>
      </c>
      <c r="BD29" s="5">
        <v>0</v>
      </c>
      <c r="BE29" s="5">
        <v>100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21">
        <v>33661</v>
      </c>
      <c r="BW29" s="5">
        <v>33662</v>
      </c>
      <c r="BX29" s="21">
        <v>33663</v>
      </c>
      <c r="BY29" s="5">
        <v>33664</v>
      </c>
      <c r="BZ29" s="21">
        <v>33665</v>
      </c>
      <c r="CA29" s="5">
        <v>33666</v>
      </c>
      <c r="CB29" s="21">
        <v>33667</v>
      </c>
      <c r="CC29" s="6" t="s">
        <v>12</v>
      </c>
      <c r="CD29" s="6" t="s">
        <v>555</v>
      </c>
    </row>
    <row r="30" spans="1:82" x14ac:dyDescent="0.15">
      <c r="A30" s="6">
        <v>28</v>
      </c>
      <c r="B30" s="5">
        <v>2012</v>
      </c>
      <c r="C30" s="5">
        <v>85</v>
      </c>
      <c r="D30" s="5">
        <v>302</v>
      </c>
      <c r="E30" s="21">
        <v>51.51</v>
      </c>
      <c r="F30" s="5">
        <v>0.13</v>
      </c>
      <c r="G30">
        <v>2920.232</v>
      </c>
      <c r="H30" s="5">
        <v>8</v>
      </c>
      <c r="I30" s="5">
        <v>1</v>
      </c>
      <c r="J30" s="5">
        <v>0</v>
      </c>
      <c r="K30" s="5">
        <v>0</v>
      </c>
      <c r="L30">
        <v>0.25779999999999997</v>
      </c>
      <c r="M30">
        <v>0.21779999999999999</v>
      </c>
      <c r="N30">
        <v>2.7400000000000001E-2</v>
      </c>
      <c r="O30">
        <v>0.1094</v>
      </c>
      <c r="P30">
        <v>0.2268</v>
      </c>
      <c r="Q30">
        <v>0.14069999999999999</v>
      </c>
      <c r="R30">
        <v>2.0199999999999999E-2</v>
      </c>
      <c r="S30" s="5">
        <v>0</v>
      </c>
      <c r="T30" s="5">
        <v>0</v>
      </c>
      <c r="U30" s="5">
        <v>0</v>
      </c>
      <c r="V30" s="5">
        <v>10</v>
      </c>
      <c r="W30" s="5">
        <v>8</v>
      </c>
      <c r="X30" s="5">
        <v>8</v>
      </c>
      <c r="Y30" s="5">
        <v>-999</v>
      </c>
      <c r="Z30" s="5">
        <v>-999</v>
      </c>
      <c r="AA30" s="5">
        <v>-999</v>
      </c>
      <c r="AB30" s="5">
        <v>-999</v>
      </c>
      <c r="AC30" s="5">
        <v>-999</v>
      </c>
      <c r="AD30" s="67">
        <v>111.11925353875993</v>
      </c>
      <c r="AE30" s="67">
        <v>98.719211350331065</v>
      </c>
      <c r="AF30" s="5">
        <v>33661</v>
      </c>
      <c r="AG30" s="5">
        <v>33662</v>
      </c>
      <c r="AH30" s="5">
        <v>33661</v>
      </c>
      <c r="AI30" s="5">
        <v>33662</v>
      </c>
      <c r="AJ30" s="5">
        <v>33663</v>
      </c>
      <c r="AK30" s="5">
        <v>33663</v>
      </c>
      <c r="AL30" s="5">
        <v>33661</v>
      </c>
      <c r="AM30" s="5">
        <v>0.25</v>
      </c>
      <c r="AN30" s="5">
        <v>1</v>
      </c>
      <c r="AO30" s="5">
        <v>10</v>
      </c>
      <c r="AP30" s="5">
        <v>1</v>
      </c>
      <c r="AQ30" s="5">
        <v>100</v>
      </c>
      <c r="AR30" s="5">
        <v>33660</v>
      </c>
      <c r="AS30" s="5">
        <v>99999</v>
      </c>
      <c r="AT30" s="5">
        <v>99999</v>
      </c>
      <c r="AU30" s="5">
        <v>33661</v>
      </c>
      <c r="AV30" s="5">
        <v>33661</v>
      </c>
      <c r="AW30" s="5">
        <v>33662</v>
      </c>
      <c r="AX30" s="5">
        <v>99999</v>
      </c>
      <c r="AY30" s="5">
        <v>99999</v>
      </c>
      <c r="AZ30" s="5">
        <v>99999</v>
      </c>
      <c r="BA30" s="5">
        <v>99999</v>
      </c>
      <c r="BB30" s="5">
        <v>99999</v>
      </c>
      <c r="BC30" s="5">
        <v>0</v>
      </c>
      <c r="BD30" s="5">
        <v>0</v>
      </c>
      <c r="BE30" s="5">
        <v>100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21">
        <v>33661</v>
      </c>
      <c r="BW30" s="5">
        <v>33662</v>
      </c>
      <c r="BX30" s="21">
        <v>33663</v>
      </c>
      <c r="BY30" s="5">
        <v>33664</v>
      </c>
      <c r="BZ30" s="21">
        <v>33665</v>
      </c>
      <c r="CA30" s="5">
        <v>33666</v>
      </c>
      <c r="CB30" s="21">
        <v>33667</v>
      </c>
      <c r="CC30" s="6" t="s">
        <v>12</v>
      </c>
      <c r="CD30" s="6" t="s">
        <v>556</v>
      </c>
    </row>
    <row r="31" spans="1:82" x14ac:dyDescent="0.15">
      <c r="A31" s="6">
        <v>29</v>
      </c>
      <c r="B31" s="5">
        <v>2012</v>
      </c>
      <c r="C31" s="5">
        <v>85</v>
      </c>
      <c r="D31" s="5">
        <v>302</v>
      </c>
      <c r="E31" s="21">
        <v>51.51</v>
      </c>
      <c r="F31" s="5">
        <v>0.13</v>
      </c>
      <c r="G31">
        <v>4401.0290000000005</v>
      </c>
      <c r="H31" s="5">
        <v>8</v>
      </c>
      <c r="I31" s="5">
        <v>1</v>
      </c>
      <c r="J31" s="5">
        <v>0</v>
      </c>
      <c r="K31" s="5">
        <v>0</v>
      </c>
      <c r="L31">
        <v>0.2253</v>
      </c>
      <c r="M31">
        <v>0.14549999999999999</v>
      </c>
      <c r="N31">
        <v>4.2500000000000003E-2</v>
      </c>
      <c r="O31">
        <v>0.1701</v>
      </c>
      <c r="P31">
        <v>0.33200000000000002</v>
      </c>
      <c r="Q31">
        <v>7.9600000000000004E-2</v>
      </c>
      <c r="R31">
        <v>5.1000000000000004E-3</v>
      </c>
      <c r="S31" s="5">
        <v>0</v>
      </c>
      <c r="T31" s="5">
        <v>0</v>
      </c>
      <c r="U31" s="5">
        <v>0</v>
      </c>
      <c r="V31" s="5">
        <v>10</v>
      </c>
      <c r="W31" s="5">
        <v>8</v>
      </c>
      <c r="X31" s="5">
        <v>8</v>
      </c>
      <c r="Y31" s="5">
        <v>-999</v>
      </c>
      <c r="Z31" s="5">
        <v>-999</v>
      </c>
      <c r="AA31" s="5">
        <v>-999</v>
      </c>
      <c r="AB31" s="5">
        <v>-999</v>
      </c>
      <c r="AC31" s="5">
        <v>-999</v>
      </c>
      <c r="AD31" s="67">
        <v>37.423293507041187</v>
      </c>
      <c r="AE31" s="67">
        <v>43.204895945925372</v>
      </c>
      <c r="AF31" s="5">
        <v>33661</v>
      </c>
      <c r="AG31" s="5">
        <v>33662</v>
      </c>
      <c r="AH31" s="5">
        <v>33661</v>
      </c>
      <c r="AI31" s="5">
        <v>33662</v>
      </c>
      <c r="AJ31" s="5">
        <v>33663</v>
      </c>
      <c r="AK31" s="5">
        <v>33663</v>
      </c>
      <c r="AL31" s="5">
        <v>33661</v>
      </c>
      <c r="AM31" s="5">
        <v>0.25</v>
      </c>
      <c r="AN31" s="5">
        <v>1</v>
      </c>
      <c r="AO31" s="5">
        <v>10</v>
      </c>
      <c r="AP31" s="5">
        <v>1</v>
      </c>
      <c r="AQ31" s="5">
        <v>100</v>
      </c>
      <c r="AR31" s="5">
        <v>33660</v>
      </c>
      <c r="AS31" s="5">
        <v>99999</v>
      </c>
      <c r="AT31" s="5">
        <v>99999</v>
      </c>
      <c r="AU31" s="5">
        <v>33661</v>
      </c>
      <c r="AV31" s="5">
        <v>33661</v>
      </c>
      <c r="AW31" s="5">
        <v>33662</v>
      </c>
      <c r="AX31" s="5">
        <v>99999</v>
      </c>
      <c r="AY31" s="5">
        <v>99999</v>
      </c>
      <c r="AZ31" s="5">
        <v>99999</v>
      </c>
      <c r="BA31" s="5">
        <v>99999</v>
      </c>
      <c r="BB31" s="5">
        <v>99999</v>
      </c>
      <c r="BC31" s="5">
        <v>0</v>
      </c>
      <c r="BD31" s="5">
        <v>0</v>
      </c>
      <c r="BE31" s="5">
        <v>100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21">
        <v>33661</v>
      </c>
      <c r="BW31" s="5">
        <v>33662</v>
      </c>
      <c r="BX31" s="21">
        <v>33663</v>
      </c>
      <c r="BY31" s="5">
        <v>33664</v>
      </c>
      <c r="BZ31" s="21">
        <v>33665</v>
      </c>
      <c r="CA31" s="5">
        <v>33666</v>
      </c>
      <c r="CB31" s="21">
        <v>33667</v>
      </c>
      <c r="CC31" s="6" t="s">
        <v>12</v>
      </c>
      <c r="CD31" s="6" t="s">
        <v>557</v>
      </c>
    </row>
    <row r="32" spans="1:82" x14ac:dyDescent="0.15">
      <c r="A32" s="6">
        <v>30</v>
      </c>
      <c r="B32" s="5">
        <v>2012</v>
      </c>
      <c r="C32" s="5">
        <v>85</v>
      </c>
      <c r="D32" s="5">
        <v>302</v>
      </c>
      <c r="E32" s="21">
        <v>51.51</v>
      </c>
      <c r="F32" s="5">
        <v>0.13</v>
      </c>
      <c r="G32">
        <v>2467.6950000000002</v>
      </c>
      <c r="H32" s="5">
        <v>8</v>
      </c>
      <c r="I32" s="5">
        <v>1</v>
      </c>
      <c r="J32" s="5">
        <v>0</v>
      </c>
      <c r="K32" s="5">
        <v>0</v>
      </c>
      <c r="L32">
        <v>0.22470000000000001</v>
      </c>
      <c r="M32">
        <v>0.19189999999999999</v>
      </c>
      <c r="N32">
        <v>1.46E-2</v>
      </c>
      <c r="O32">
        <v>5.8299999999999998E-2</v>
      </c>
      <c r="P32">
        <v>0.12690000000000001</v>
      </c>
      <c r="Q32">
        <v>0.16139999999999999</v>
      </c>
      <c r="R32">
        <v>0.2223</v>
      </c>
      <c r="S32" s="5">
        <v>0</v>
      </c>
      <c r="T32" s="5">
        <v>0</v>
      </c>
      <c r="U32" s="5">
        <v>0</v>
      </c>
      <c r="V32" s="5">
        <v>10</v>
      </c>
      <c r="W32" s="5">
        <v>8</v>
      </c>
      <c r="X32" s="5">
        <v>8</v>
      </c>
      <c r="Y32" s="5">
        <v>-999</v>
      </c>
      <c r="Z32" s="5">
        <v>-999</v>
      </c>
      <c r="AA32" s="5">
        <v>-999</v>
      </c>
      <c r="AB32" s="5">
        <v>-999</v>
      </c>
      <c r="AC32" s="5">
        <v>-999</v>
      </c>
      <c r="AD32" s="67">
        <v>149.20806663708439</v>
      </c>
      <c r="AE32" s="67">
        <v>102.96896496528136</v>
      </c>
      <c r="AF32" s="5">
        <v>33661</v>
      </c>
      <c r="AG32" s="5">
        <v>33662</v>
      </c>
      <c r="AH32" s="5">
        <v>33661</v>
      </c>
      <c r="AI32" s="5">
        <v>33662</v>
      </c>
      <c r="AJ32" s="5">
        <v>33663</v>
      </c>
      <c r="AK32" s="5">
        <v>33663</v>
      </c>
      <c r="AL32" s="5">
        <v>33661</v>
      </c>
      <c r="AM32" s="5">
        <v>0.25</v>
      </c>
      <c r="AN32" s="5">
        <v>1</v>
      </c>
      <c r="AO32" s="5">
        <v>10</v>
      </c>
      <c r="AP32" s="5">
        <v>1</v>
      </c>
      <c r="AQ32" s="5">
        <v>100</v>
      </c>
      <c r="AR32" s="5">
        <v>33660</v>
      </c>
      <c r="AS32" s="5">
        <v>99999</v>
      </c>
      <c r="AT32" s="5">
        <v>99999</v>
      </c>
      <c r="AU32" s="5">
        <v>33661</v>
      </c>
      <c r="AV32" s="5">
        <v>33661</v>
      </c>
      <c r="AW32" s="5">
        <v>33662</v>
      </c>
      <c r="AX32" s="5">
        <v>99999</v>
      </c>
      <c r="AY32" s="5">
        <v>99999</v>
      </c>
      <c r="AZ32" s="5">
        <v>99999</v>
      </c>
      <c r="BA32" s="5">
        <v>99999</v>
      </c>
      <c r="BB32" s="5">
        <v>99999</v>
      </c>
      <c r="BC32" s="5">
        <v>0</v>
      </c>
      <c r="BD32" s="5">
        <v>0</v>
      </c>
      <c r="BE32" s="5">
        <v>100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21">
        <v>33661</v>
      </c>
      <c r="BW32" s="5">
        <v>33662</v>
      </c>
      <c r="BX32" s="21">
        <v>33663</v>
      </c>
      <c r="BY32" s="5">
        <v>33664</v>
      </c>
      <c r="BZ32" s="21">
        <v>33665</v>
      </c>
      <c r="CA32" s="5">
        <v>33666</v>
      </c>
      <c r="CB32" s="21">
        <v>33667</v>
      </c>
      <c r="CC32" s="6" t="s">
        <v>12</v>
      </c>
      <c r="CD32" s="6" t="s">
        <v>558</v>
      </c>
    </row>
    <row r="33" spans="1:82" x14ac:dyDescent="0.15">
      <c r="A33" s="6">
        <v>31</v>
      </c>
      <c r="B33" s="5">
        <v>2012</v>
      </c>
      <c r="C33" s="5">
        <v>85</v>
      </c>
      <c r="D33" s="5">
        <v>302</v>
      </c>
      <c r="E33" s="21">
        <v>51.51</v>
      </c>
      <c r="F33" s="5">
        <v>0.13</v>
      </c>
      <c r="G33">
        <v>3878.33</v>
      </c>
      <c r="H33" s="5">
        <v>8</v>
      </c>
      <c r="I33" s="5">
        <v>1</v>
      </c>
      <c r="J33" s="5">
        <v>0</v>
      </c>
      <c r="K33" s="5">
        <v>0</v>
      </c>
      <c r="L33">
        <v>0.2208</v>
      </c>
      <c r="M33">
        <v>0.1706</v>
      </c>
      <c r="N33">
        <v>3.5799999999999998E-2</v>
      </c>
      <c r="O33">
        <v>0.1434</v>
      </c>
      <c r="P33">
        <v>0.29339999999999999</v>
      </c>
      <c r="Q33">
        <v>7.8200000000000006E-2</v>
      </c>
      <c r="R33">
        <v>5.7799999999999997E-2</v>
      </c>
      <c r="S33" s="5">
        <v>0</v>
      </c>
      <c r="T33" s="5">
        <v>0</v>
      </c>
      <c r="U33" s="5">
        <v>0</v>
      </c>
      <c r="V33" s="5">
        <v>10</v>
      </c>
      <c r="W33" s="5">
        <v>8</v>
      </c>
      <c r="X33" s="5">
        <v>8</v>
      </c>
      <c r="Y33" s="5">
        <v>-999</v>
      </c>
      <c r="Z33" s="5">
        <v>-999</v>
      </c>
      <c r="AA33" s="5">
        <v>-999</v>
      </c>
      <c r="AB33" s="5">
        <v>-999</v>
      </c>
      <c r="AC33" s="5">
        <v>-999</v>
      </c>
      <c r="AD33" s="67">
        <v>55.794633257097772</v>
      </c>
      <c r="AE33" s="67">
        <v>66.587680780129588</v>
      </c>
      <c r="AF33" s="5">
        <v>33661</v>
      </c>
      <c r="AG33" s="5">
        <v>33662</v>
      </c>
      <c r="AH33" s="5">
        <v>33661</v>
      </c>
      <c r="AI33" s="5">
        <v>33662</v>
      </c>
      <c r="AJ33" s="5">
        <v>33663</v>
      </c>
      <c r="AK33" s="5">
        <v>33663</v>
      </c>
      <c r="AL33" s="5">
        <v>33661</v>
      </c>
      <c r="AM33" s="5">
        <v>0.25</v>
      </c>
      <c r="AN33" s="5">
        <v>1</v>
      </c>
      <c r="AO33" s="5">
        <v>10</v>
      </c>
      <c r="AP33" s="5">
        <v>1</v>
      </c>
      <c r="AQ33" s="5">
        <v>100</v>
      </c>
      <c r="AR33" s="5">
        <v>33660</v>
      </c>
      <c r="AS33" s="5">
        <v>99999</v>
      </c>
      <c r="AT33" s="5">
        <v>99999</v>
      </c>
      <c r="AU33" s="5">
        <v>33661</v>
      </c>
      <c r="AV33" s="5">
        <v>33661</v>
      </c>
      <c r="AW33" s="5">
        <v>33662</v>
      </c>
      <c r="AX33" s="5">
        <v>99999</v>
      </c>
      <c r="AY33" s="5">
        <v>99999</v>
      </c>
      <c r="AZ33" s="5">
        <v>99999</v>
      </c>
      <c r="BA33" s="5">
        <v>99999</v>
      </c>
      <c r="BB33" s="5">
        <v>99999</v>
      </c>
      <c r="BC33" s="5">
        <v>0</v>
      </c>
      <c r="BD33" s="5">
        <v>0</v>
      </c>
      <c r="BE33" s="5">
        <v>100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21">
        <v>33661</v>
      </c>
      <c r="BW33" s="5">
        <v>33662</v>
      </c>
      <c r="BX33" s="21">
        <v>33663</v>
      </c>
      <c r="BY33" s="5">
        <v>33664</v>
      </c>
      <c r="BZ33" s="21">
        <v>33665</v>
      </c>
      <c r="CA33" s="5">
        <v>33666</v>
      </c>
      <c r="CB33" s="21">
        <v>33667</v>
      </c>
      <c r="CC33" s="6" t="s">
        <v>12</v>
      </c>
      <c r="CD33" s="6" t="s">
        <v>559</v>
      </c>
    </row>
    <row r="34" spans="1:82" x14ac:dyDescent="0.15">
      <c r="A34" s="6">
        <v>32</v>
      </c>
      <c r="B34" s="5">
        <v>2012</v>
      </c>
      <c r="C34" s="5">
        <v>85</v>
      </c>
      <c r="D34" s="5">
        <v>302</v>
      </c>
      <c r="E34" s="21">
        <v>51.51</v>
      </c>
      <c r="F34" s="5">
        <v>0.13</v>
      </c>
      <c r="G34">
        <v>3485.0659999999998</v>
      </c>
      <c r="H34" s="5">
        <v>8</v>
      </c>
      <c r="I34" s="5">
        <v>1</v>
      </c>
      <c r="J34" s="5">
        <v>0</v>
      </c>
      <c r="K34" s="5">
        <v>0</v>
      </c>
      <c r="L34">
        <v>0.26250000000000001</v>
      </c>
      <c r="M34">
        <v>0.21199999999999999</v>
      </c>
      <c r="N34">
        <v>3.1099999999999999E-2</v>
      </c>
      <c r="O34">
        <v>0.1244</v>
      </c>
      <c r="P34">
        <v>0.25359999999999999</v>
      </c>
      <c r="Q34">
        <v>9.9000000000000005E-2</v>
      </c>
      <c r="R34">
        <v>1.7500000000000002E-2</v>
      </c>
      <c r="S34" s="5">
        <v>0</v>
      </c>
      <c r="T34" s="5">
        <v>0</v>
      </c>
      <c r="U34" s="5">
        <v>0</v>
      </c>
      <c r="V34" s="5">
        <v>10</v>
      </c>
      <c r="W34" s="5">
        <v>8</v>
      </c>
      <c r="X34" s="5">
        <v>8</v>
      </c>
      <c r="Y34" s="5">
        <v>-999</v>
      </c>
      <c r="Z34" s="5">
        <v>-999</v>
      </c>
      <c r="AA34" s="5">
        <v>-999</v>
      </c>
      <c r="AB34" s="5">
        <v>-999</v>
      </c>
      <c r="AC34" s="5">
        <v>-999</v>
      </c>
      <c r="AD34" s="67">
        <v>70.640269079552581</v>
      </c>
      <c r="AE34" s="67">
        <v>88.088719123253341</v>
      </c>
      <c r="AF34" s="5">
        <v>33661</v>
      </c>
      <c r="AG34" s="5">
        <v>33662</v>
      </c>
      <c r="AH34" s="5">
        <v>33661</v>
      </c>
      <c r="AI34" s="5">
        <v>33662</v>
      </c>
      <c r="AJ34" s="5">
        <v>33663</v>
      </c>
      <c r="AK34" s="5">
        <v>33663</v>
      </c>
      <c r="AL34" s="5">
        <v>33661</v>
      </c>
      <c r="AM34" s="5">
        <v>0.25</v>
      </c>
      <c r="AN34" s="5">
        <v>1</v>
      </c>
      <c r="AO34" s="5">
        <v>10</v>
      </c>
      <c r="AP34" s="5">
        <v>1</v>
      </c>
      <c r="AQ34" s="5">
        <v>100</v>
      </c>
      <c r="AR34" s="5">
        <v>33660</v>
      </c>
      <c r="AS34" s="5">
        <v>99999</v>
      </c>
      <c r="AT34" s="5">
        <v>99999</v>
      </c>
      <c r="AU34" s="5">
        <v>33661</v>
      </c>
      <c r="AV34" s="5">
        <v>33661</v>
      </c>
      <c r="AW34" s="5">
        <v>33662</v>
      </c>
      <c r="AX34" s="5">
        <v>99999</v>
      </c>
      <c r="AY34" s="5">
        <v>99999</v>
      </c>
      <c r="AZ34" s="5">
        <v>99999</v>
      </c>
      <c r="BA34" s="5">
        <v>99999</v>
      </c>
      <c r="BB34" s="5">
        <v>99999</v>
      </c>
      <c r="BC34" s="5">
        <v>0</v>
      </c>
      <c r="BD34" s="5">
        <v>0</v>
      </c>
      <c r="BE34" s="5">
        <v>100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21">
        <v>33661</v>
      </c>
      <c r="BW34" s="5">
        <v>33662</v>
      </c>
      <c r="BX34" s="21">
        <v>33663</v>
      </c>
      <c r="BY34" s="5">
        <v>33664</v>
      </c>
      <c r="BZ34" s="21">
        <v>33665</v>
      </c>
      <c r="CA34" s="5">
        <v>33666</v>
      </c>
      <c r="CB34" s="21">
        <v>33667</v>
      </c>
      <c r="CC34" s="6" t="s">
        <v>12</v>
      </c>
      <c r="CD34" s="6" t="s">
        <v>560</v>
      </c>
    </row>
    <row r="35" spans="1:82" x14ac:dyDescent="0.15">
      <c r="A35" s="6">
        <v>33</v>
      </c>
      <c r="B35" s="5">
        <v>2012</v>
      </c>
      <c r="C35" s="5">
        <v>85</v>
      </c>
      <c r="D35" s="5">
        <v>302</v>
      </c>
      <c r="E35" s="21">
        <v>51.51</v>
      </c>
      <c r="F35" s="5">
        <v>0.13</v>
      </c>
      <c r="G35">
        <v>2221.56</v>
      </c>
      <c r="H35" s="5">
        <v>8</v>
      </c>
      <c r="I35" s="5">
        <v>1</v>
      </c>
      <c r="J35" s="5">
        <v>0</v>
      </c>
      <c r="K35" s="5">
        <v>0</v>
      </c>
      <c r="L35">
        <v>0.29189999999999999</v>
      </c>
      <c r="M35">
        <v>0.30130000000000001</v>
      </c>
      <c r="N35">
        <v>1.9099999999999999E-2</v>
      </c>
      <c r="O35">
        <v>7.6399999999999996E-2</v>
      </c>
      <c r="P35">
        <v>0.17100000000000001</v>
      </c>
      <c r="Q35">
        <v>8.8700000000000001E-2</v>
      </c>
      <c r="R35">
        <v>5.1700000000000003E-2</v>
      </c>
      <c r="S35" s="5">
        <v>0</v>
      </c>
      <c r="T35" s="5">
        <v>0</v>
      </c>
      <c r="U35" s="5">
        <v>0</v>
      </c>
      <c r="V35" s="5">
        <v>10</v>
      </c>
      <c r="W35" s="5">
        <v>8</v>
      </c>
      <c r="X35" s="5">
        <v>8</v>
      </c>
      <c r="Y35" s="5">
        <v>-999</v>
      </c>
      <c r="Z35" s="5">
        <v>-999</v>
      </c>
      <c r="AA35" s="5">
        <v>-999</v>
      </c>
      <c r="AB35" s="5">
        <v>-999</v>
      </c>
      <c r="AC35" s="5">
        <v>-999</v>
      </c>
      <c r="AD35" s="67">
        <v>310.39989916995268</v>
      </c>
      <c r="AE35" s="67">
        <v>98.757629773672562</v>
      </c>
      <c r="AF35" s="5">
        <v>33661</v>
      </c>
      <c r="AG35" s="5">
        <v>33662</v>
      </c>
      <c r="AH35" s="5">
        <v>33661</v>
      </c>
      <c r="AI35" s="5">
        <v>33662</v>
      </c>
      <c r="AJ35" s="5">
        <v>33663</v>
      </c>
      <c r="AK35" s="5">
        <v>33663</v>
      </c>
      <c r="AL35" s="5">
        <v>33661</v>
      </c>
      <c r="AM35" s="5">
        <v>0.25</v>
      </c>
      <c r="AN35" s="5">
        <v>1</v>
      </c>
      <c r="AO35" s="5">
        <v>10</v>
      </c>
      <c r="AP35" s="5">
        <v>1</v>
      </c>
      <c r="AQ35" s="5">
        <v>100</v>
      </c>
      <c r="AR35" s="5">
        <v>33660</v>
      </c>
      <c r="AS35" s="5">
        <v>99999</v>
      </c>
      <c r="AT35" s="5">
        <v>99999</v>
      </c>
      <c r="AU35" s="5">
        <v>33661</v>
      </c>
      <c r="AV35" s="5">
        <v>33661</v>
      </c>
      <c r="AW35" s="5">
        <v>33662</v>
      </c>
      <c r="AX35" s="5">
        <v>99999</v>
      </c>
      <c r="AY35" s="5">
        <v>99999</v>
      </c>
      <c r="AZ35" s="5">
        <v>99999</v>
      </c>
      <c r="BA35" s="5">
        <v>99999</v>
      </c>
      <c r="BB35" s="5">
        <v>99999</v>
      </c>
      <c r="BC35" s="5">
        <v>0</v>
      </c>
      <c r="BD35" s="5">
        <v>0</v>
      </c>
      <c r="BE35" s="5">
        <v>100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  <c r="BV35" s="21">
        <v>33661</v>
      </c>
      <c r="BW35" s="5">
        <v>33662</v>
      </c>
      <c r="BX35" s="21">
        <v>33663</v>
      </c>
      <c r="BY35" s="5">
        <v>33664</v>
      </c>
      <c r="BZ35" s="21">
        <v>33665</v>
      </c>
      <c r="CA35" s="5">
        <v>33666</v>
      </c>
      <c r="CB35" s="21">
        <v>33667</v>
      </c>
      <c r="CC35" s="6" t="s">
        <v>12</v>
      </c>
      <c r="CD35" s="6" t="s">
        <v>561</v>
      </c>
    </row>
    <row r="36" spans="1:82" x14ac:dyDescent="0.15">
      <c r="A36" s="5">
        <v>-9</v>
      </c>
    </row>
    <row r="37" spans="1:82" x14ac:dyDescent="0.15">
      <c r="A37" s="5">
        <v>-9</v>
      </c>
    </row>
    <row r="40" spans="1:82" x14ac:dyDescent="0.15">
      <c r="A40" s="5" t="s">
        <v>12</v>
      </c>
      <c r="B40" s="5">
        <v>1</v>
      </c>
      <c r="C40" s="5" t="s">
        <v>70</v>
      </c>
      <c r="D40" s="5" t="s">
        <v>33</v>
      </c>
      <c r="G40" s="5" t="s">
        <v>190</v>
      </c>
    </row>
    <row r="41" spans="1:82" x14ac:dyDescent="0.15">
      <c r="A41" s="5" t="s">
        <v>12</v>
      </c>
      <c r="B41" s="5">
        <v>2</v>
      </c>
      <c r="C41" s="5" t="s">
        <v>35</v>
      </c>
      <c r="D41" s="5" t="s">
        <v>35</v>
      </c>
      <c r="G41" s="5" t="s">
        <v>189</v>
      </c>
    </row>
    <row r="42" spans="1:82" x14ac:dyDescent="0.15">
      <c r="A42" s="5" t="s">
        <v>12</v>
      </c>
      <c r="B42" s="5">
        <v>3</v>
      </c>
      <c r="C42" s="5" t="s">
        <v>94</v>
      </c>
      <c r="D42" s="5" t="s">
        <v>182</v>
      </c>
      <c r="G42" s="5" t="s">
        <v>187</v>
      </c>
    </row>
    <row r="43" spans="1:82" x14ac:dyDescent="0.15">
      <c r="A43" s="5" t="s">
        <v>12</v>
      </c>
      <c r="B43" s="5">
        <v>4</v>
      </c>
      <c r="C43" s="5" t="s">
        <v>95</v>
      </c>
      <c r="D43" s="5" t="s">
        <v>183</v>
      </c>
      <c r="G43" s="5" t="s">
        <v>187</v>
      </c>
    </row>
    <row r="44" spans="1:82" x14ac:dyDescent="0.15">
      <c r="A44" s="5" t="s">
        <v>12</v>
      </c>
      <c r="B44" s="5">
        <v>5</v>
      </c>
      <c r="C44" s="5" t="s">
        <v>93</v>
      </c>
      <c r="D44" s="5" t="s">
        <v>184</v>
      </c>
      <c r="G44" s="5" t="s">
        <v>188</v>
      </c>
    </row>
    <row r="45" spans="1:82" x14ac:dyDescent="0.15">
      <c r="A45" s="5" t="s">
        <v>12</v>
      </c>
      <c r="B45" s="5">
        <v>6</v>
      </c>
      <c r="C45" s="5" t="s">
        <v>38</v>
      </c>
      <c r="D45" s="5" t="s">
        <v>61</v>
      </c>
      <c r="G45" s="5" t="s">
        <v>188</v>
      </c>
    </row>
    <row r="46" spans="1:82" x14ac:dyDescent="0.15">
      <c r="A46" s="5" t="s">
        <v>12</v>
      </c>
      <c r="B46" s="5">
        <v>7</v>
      </c>
      <c r="C46" s="5" t="s">
        <v>41</v>
      </c>
      <c r="D46" s="5" t="s">
        <v>41</v>
      </c>
      <c r="G46" s="5" t="s">
        <v>185</v>
      </c>
    </row>
    <row r="47" spans="1:82" x14ac:dyDescent="0.15">
      <c r="A47" s="5" t="s">
        <v>12</v>
      </c>
      <c r="B47" s="5">
        <v>8</v>
      </c>
      <c r="C47" s="5" t="s">
        <v>36</v>
      </c>
      <c r="D47" s="5" t="s">
        <v>62</v>
      </c>
      <c r="G47" s="5" t="s">
        <v>186</v>
      </c>
    </row>
    <row r="48" spans="1:82" x14ac:dyDescent="0.15">
      <c r="A48" s="5" t="s">
        <v>12</v>
      </c>
      <c r="B48" s="5">
        <v>9</v>
      </c>
      <c r="C48" s="5" t="s">
        <v>96</v>
      </c>
      <c r="D48" s="5" t="s">
        <v>191</v>
      </c>
      <c r="G48" s="5" t="s">
        <v>187</v>
      </c>
      <c r="I48" s="5" t="s">
        <v>194</v>
      </c>
    </row>
    <row r="49" spans="1:9" x14ac:dyDescent="0.15">
      <c r="A49" s="5" t="s">
        <v>12</v>
      </c>
      <c r="B49" s="5">
        <v>10</v>
      </c>
      <c r="C49" s="5" t="s">
        <v>69</v>
      </c>
      <c r="D49" s="5" t="s">
        <v>192</v>
      </c>
      <c r="I49" s="5" t="s">
        <v>195</v>
      </c>
    </row>
    <row r="50" spans="1:9" x14ac:dyDescent="0.15">
      <c r="A50" s="5" t="s">
        <v>12</v>
      </c>
      <c r="B50" s="5">
        <v>11</v>
      </c>
      <c r="C50" s="5" t="s">
        <v>68</v>
      </c>
      <c r="D50" s="5" t="s">
        <v>193</v>
      </c>
      <c r="I50" s="5" t="s">
        <v>195</v>
      </c>
    </row>
    <row r="51" spans="1:9" x14ac:dyDescent="0.15">
      <c r="A51" s="5" t="s">
        <v>12</v>
      </c>
      <c r="B51" s="5">
        <v>12</v>
      </c>
      <c r="C51" s="5" t="s">
        <v>416</v>
      </c>
      <c r="D51" s="5" t="s">
        <v>196</v>
      </c>
    </row>
    <row r="52" spans="1:9" x14ac:dyDescent="0.15">
      <c r="A52" s="5" t="s">
        <v>12</v>
      </c>
      <c r="B52" s="5">
        <v>13</v>
      </c>
      <c r="C52" s="5" t="s">
        <v>504</v>
      </c>
      <c r="D52" s="5" t="s">
        <v>196</v>
      </c>
    </row>
    <row r="53" spans="1:9" x14ac:dyDescent="0.15">
      <c r="A53" s="5" t="s">
        <v>12</v>
      </c>
      <c r="B53" s="5">
        <v>14</v>
      </c>
      <c r="C53" s="5" t="s">
        <v>417</v>
      </c>
      <c r="D53" s="5" t="s">
        <v>196</v>
      </c>
    </row>
    <row r="54" spans="1:9" x14ac:dyDescent="0.15">
      <c r="A54" s="5" t="s">
        <v>12</v>
      </c>
      <c r="B54" s="5">
        <v>15</v>
      </c>
      <c r="C54" s="5" t="s">
        <v>418</v>
      </c>
      <c r="D54" s="5" t="s">
        <v>196</v>
      </c>
    </row>
    <row r="55" spans="1:9" x14ac:dyDescent="0.15">
      <c r="A55" s="5" t="s">
        <v>12</v>
      </c>
      <c r="B55" s="5">
        <v>16</v>
      </c>
      <c r="C55" s="5" t="s">
        <v>419</v>
      </c>
      <c r="D55" s="5" t="s">
        <v>196</v>
      </c>
    </row>
    <row r="56" spans="1:9" x14ac:dyDescent="0.15">
      <c r="A56" s="5" t="s">
        <v>12</v>
      </c>
      <c r="B56" s="5">
        <v>17</v>
      </c>
      <c r="C56" s="5" t="s">
        <v>420</v>
      </c>
      <c r="D56" s="5" t="s">
        <v>196</v>
      </c>
    </row>
    <row r="57" spans="1:9" x14ac:dyDescent="0.15">
      <c r="A57" s="5" t="s">
        <v>12</v>
      </c>
      <c r="B57" s="5">
        <v>18</v>
      </c>
      <c r="C57" s="5" t="s">
        <v>421</v>
      </c>
      <c r="D57" s="5" t="s">
        <v>196</v>
      </c>
    </row>
    <row r="58" spans="1:9" x14ac:dyDescent="0.15">
      <c r="A58" s="5" t="s">
        <v>12</v>
      </c>
      <c r="B58" s="5">
        <v>19</v>
      </c>
      <c r="C58" s="5" t="s">
        <v>98</v>
      </c>
      <c r="D58" s="5" t="s">
        <v>197</v>
      </c>
    </row>
    <row r="59" spans="1:9" x14ac:dyDescent="0.15">
      <c r="A59" s="5" t="s">
        <v>12</v>
      </c>
      <c r="B59" s="5">
        <v>20</v>
      </c>
      <c r="C59" s="5" t="s">
        <v>99</v>
      </c>
      <c r="D59" s="5" t="s">
        <v>198</v>
      </c>
    </row>
    <row r="60" spans="1:9" x14ac:dyDescent="0.15">
      <c r="A60" s="5" t="s">
        <v>12</v>
      </c>
      <c r="B60" s="5">
        <v>21</v>
      </c>
      <c r="C60" s="5" t="s">
        <v>100</v>
      </c>
      <c r="D60" s="5" t="s">
        <v>199</v>
      </c>
    </row>
    <row r="61" spans="1:9" x14ac:dyDescent="0.15">
      <c r="A61" s="5" t="s">
        <v>12</v>
      </c>
      <c r="B61" s="5">
        <v>22</v>
      </c>
      <c r="C61" s="5" t="s">
        <v>505</v>
      </c>
      <c r="D61" s="5" t="s">
        <v>200</v>
      </c>
      <c r="G61" s="5" t="s">
        <v>186</v>
      </c>
    </row>
    <row r="62" spans="1:9" x14ac:dyDescent="0.15">
      <c r="A62" s="5" t="s">
        <v>12</v>
      </c>
      <c r="B62" s="5">
        <v>23</v>
      </c>
      <c r="C62" s="5" t="s">
        <v>422</v>
      </c>
      <c r="D62" s="5" t="s">
        <v>423</v>
      </c>
      <c r="G62" s="5" t="s">
        <v>186</v>
      </c>
    </row>
    <row r="63" spans="1:9" x14ac:dyDescent="0.15">
      <c r="A63" s="5" t="s">
        <v>12</v>
      </c>
      <c r="B63" s="5">
        <v>24</v>
      </c>
      <c r="C63" s="5" t="s">
        <v>424</v>
      </c>
      <c r="D63" s="5" t="s">
        <v>425</v>
      </c>
      <c r="G63" s="5" t="s">
        <v>186</v>
      </c>
    </row>
    <row r="64" spans="1:9" x14ac:dyDescent="0.15">
      <c r="A64" s="5" t="s">
        <v>12</v>
      </c>
      <c r="B64" s="5">
        <v>25</v>
      </c>
      <c r="C64" s="5" t="s">
        <v>181</v>
      </c>
      <c r="D64" s="5" t="s">
        <v>201</v>
      </c>
      <c r="G64" s="5" t="s">
        <v>186</v>
      </c>
    </row>
    <row r="65" spans="1:9" x14ac:dyDescent="0.15">
      <c r="A65" s="5" t="s">
        <v>12</v>
      </c>
      <c r="B65" s="5">
        <v>26</v>
      </c>
      <c r="C65" s="5" t="s">
        <v>180</v>
      </c>
      <c r="D65" s="5" t="s">
        <v>202</v>
      </c>
      <c r="G65" s="5" t="s">
        <v>186</v>
      </c>
    </row>
    <row r="66" spans="1:9" x14ac:dyDescent="0.15">
      <c r="A66" s="5" t="s">
        <v>12</v>
      </c>
      <c r="B66" s="5">
        <v>27</v>
      </c>
      <c r="C66" s="5" t="s">
        <v>506</v>
      </c>
      <c r="D66" s="5" t="s">
        <v>203</v>
      </c>
    </row>
    <row r="67" spans="1:9" x14ac:dyDescent="0.15">
      <c r="A67" s="5" t="s">
        <v>12</v>
      </c>
      <c r="B67" s="5">
        <v>28</v>
      </c>
      <c r="C67" s="5" t="s">
        <v>426</v>
      </c>
      <c r="D67" s="5" t="s">
        <v>427</v>
      </c>
    </row>
    <row r="68" spans="1:9" x14ac:dyDescent="0.15">
      <c r="A68" s="5" t="s">
        <v>12</v>
      </c>
      <c r="B68" s="5">
        <v>29</v>
      </c>
      <c r="C68" s="5" t="s">
        <v>428</v>
      </c>
      <c r="D68" s="5" t="s">
        <v>429</v>
      </c>
    </row>
    <row r="69" spans="1:9" x14ac:dyDescent="0.15">
      <c r="A69" s="5" t="s">
        <v>12</v>
      </c>
      <c r="B69" s="5">
        <v>30</v>
      </c>
      <c r="C69" s="5" t="s">
        <v>430</v>
      </c>
      <c r="D69" s="5" t="s">
        <v>431</v>
      </c>
      <c r="G69" s="5" t="s">
        <v>432</v>
      </c>
    </row>
    <row r="70" spans="1:9" x14ac:dyDescent="0.15">
      <c r="A70" s="5" t="s">
        <v>12</v>
      </c>
      <c r="B70" s="5">
        <v>31</v>
      </c>
      <c r="C70" s="5" t="s">
        <v>433</v>
      </c>
      <c r="D70" s="5" t="s">
        <v>434</v>
      </c>
      <c r="G70" s="5" t="s">
        <v>432</v>
      </c>
    </row>
    <row r="71" spans="1:9" x14ac:dyDescent="0.15">
      <c r="A71" s="5" t="s">
        <v>12</v>
      </c>
      <c r="B71" s="5">
        <v>32</v>
      </c>
      <c r="C71" s="5" t="s">
        <v>105</v>
      </c>
      <c r="D71" s="5" t="s">
        <v>211</v>
      </c>
      <c r="I71" s="5" t="s">
        <v>479</v>
      </c>
    </row>
    <row r="72" spans="1:9" x14ac:dyDescent="0.15">
      <c r="A72" s="5" t="s">
        <v>12</v>
      </c>
      <c r="B72" s="5">
        <v>33</v>
      </c>
      <c r="C72" s="5" t="s">
        <v>507</v>
      </c>
      <c r="D72" s="5" t="s">
        <v>508</v>
      </c>
      <c r="I72" s="5" t="s">
        <v>479</v>
      </c>
    </row>
    <row r="73" spans="1:9" x14ac:dyDescent="0.15">
      <c r="A73" s="5" t="s">
        <v>12</v>
      </c>
      <c r="B73" s="5">
        <v>34</v>
      </c>
      <c r="C73" s="5" t="s">
        <v>104</v>
      </c>
      <c r="D73" s="5" t="s">
        <v>212</v>
      </c>
      <c r="I73" s="5" t="s">
        <v>481</v>
      </c>
    </row>
    <row r="74" spans="1:9" x14ac:dyDescent="0.15">
      <c r="A74" s="5" t="s">
        <v>12</v>
      </c>
      <c r="B74" s="5">
        <v>35</v>
      </c>
      <c r="C74" s="5" t="s">
        <v>103</v>
      </c>
      <c r="D74" s="5" t="s">
        <v>213</v>
      </c>
      <c r="I74" s="5" t="s">
        <v>481</v>
      </c>
    </row>
    <row r="75" spans="1:9" x14ac:dyDescent="0.15">
      <c r="A75" s="5" t="s">
        <v>12</v>
      </c>
      <c r="B75" s="5">
        <v>36</v>
      </c>
      <c r="C75" s="5" t="s">
        <v>102</v>
      </c>
      <c r="D75" s="5" t="s">
        <v>214</v>
      </c>
      <c r="I75" s="5" t="s">
        <v>481</v>
      </c>
    </row>
    <row r="76" spans="1:9" x14ac:dyDescent="0.15">
      <c r="A76" s="5" t="s">
        <v>12</v>
      </c>
      <c r="B76" s="5">
        <v>37</v>
      </c>
      <c r="C76" s="5" t="s">
        <v>101</v>
      </c>
      <c r="D76" s="5" t="s">
        <v>215</v>
      </c>
      <c r="I76" s="5" t="s">
        <v>481</v>
      </c>
    </row>
    <row r="77" spans="1:9" x14ac:dyDescent="0.15">
      <c r="A77" s="5" t="s">
        <v>12</v>
      </c>
      <c r="B77" s="5">
        <v>38</v>
      </c>
      <c r="C77" s="5" t="s">
        <v>106</v>
      </c>
      <c r="D77" s="5" t="s">
        <v>216</v>
      </c>
      <c r="I77" s="5" t="s">
        <v>204</v>
      </c>
    </row>
    <row r="78" spans="1:9" x14ac:dyDescent="0.15">
      <c r="A78" s="5" t="s">
        <v>12</v>
      </c>
      <c r="B78" s="5">
        <v>39</v>
      </c>
      <c r="C78" s="5" t="s">
        <v>134</v>
      </c>
      <c r="D78" s="5" t="s">
        <v>205</v>
      </c>
      <c r="G78" s="5" t="s">
        <v>206</v>
      </c>
    </row>
    <row r="79" spans="1:9" x14ac:dyDescent="0.15">
      <c r="A79" s="5" t="s">
        <v>12</v>
      </c>
      <c r="B79" s="5">
        <v>40</v>
      </c>
      <c r="C79" s="5" t="s">
        <v>136</v>
      </c>
      <c r="D79" s="5" t="s">
        <v>208</v>
      </c>
      <c r="G79" s="5" t="s">
        <v>207</v>
      </c>
    </row>
    <row r="80" spans="1:9" x14ac:dyDescent="0.15">
      <c r="A80" s="5" t="s">
        <v>12</v>
      </c>
      <c r="B80" s="5">
        <v>41</v>
      </c>
      <c r="C80" s="5" t="s">
        <v>135</v>
      </c>
      <c r="D80" s="5" t="s">
        <v>209</v>
      </c>
      <c r="G80" s="5" t="s">
        <v>207</v>
      </c>
    </row>
    <row r="81" spans="1:9" x14ac:dyDescent="0.15">
      <c r="A81" s="5" t="s">
        <v>12</v>
      </c>
      <c r="B81" s="5">
        <v>42</v>
      </c>
      <c r="C81" s="5" t="s">
        <v>137</v>
      </c>
      <c r="D81" s="5" t="s">
        <v>210</v>
      </c>
    </row>
    <row r="82" spans="1:9" x14ac:dyDescent="0.15">
      <c r="A82" s="5" t="s">
        <v>12</v>
      </c>
      <c r="B82" s="5">
        <v>43</v>
      </c>
      <c r="C82" s="5" t="s">
        <v>138</v>
      </c>
      <c r="D82" s="5" t="s">
        <v>219</v>
      </c>
      <c r="I82" s="5" t="s">
        <v>217</v>
      </c>
    </row>
    <row r="83" spans="1:9" x14ac:dyDescent="0.15">
      <c r="A83" s="5" t="s">
        <v>12</v>
      </c>
      <c r="B83" s="5">
        <v>44</v>
      </c>
      <c r="C83" s="5" t="s">
        <v>71</v>
      </c>
      <c r="D83" s="5" t="s">
        <v>220</v>
      </c>
      <c r="I83" s="5" t="s">
        <v>218</v>
      </c>
    </row>
    <row r="84" spans="1:9" x14ac:dyDescent="0.15">
      <c r="A84" s="5" t="s">
        <v>12</v>
      </c>
      <c r="B84" s="5">
        <v>45</v>
      </c>
      <c r="C84" s="5" t="s">
        <v>453</v>
      </c>
      <c r="D84" s="5" t="s">
        <v>483</v>
      </c>
      <c r="I84" s="5" t="s">
        <v>221</v>
      </c>
    </row>
    <row r="85" spans="1:9" x14ac:dyDescent="0.15">
      <c r="A85" s="5" t="s">
        <v>12</v>
      </c>
      <c r="B85" s="5">
        <v>46</v>
      </c>
      <c r="C85" s="5" t="s">
        <v>454</v>
      </c>
      <c r="D85" s="5" t="s">
        <v>484</v>
      </c>
      <c r="I85" s="5" t="s">
        <v>221</v>
      </c>
    </row>
    <row r="86" spans="1:9" x14ac:dyDescent="0.15">
      <c r="A86" s="5" t="s">
        <v>12</v>
      </c>
      <c r="B86" s="5">
        <v>47</v>
      </c>
      <c r="C86" s="5" t="s">
        <v>80</v>
      </c>
      <c r="D86" s="5" t="s">
        <v>222</v>
      </c>
      <c r="I86" s="5" t="s">
        <v>223</v>
      </c>
    </row>
    <row r="87" spans="1:9" x14ac:dyDescent="0.15">
      <c r="A87" s="5" t="s">
        <v>12</v>
      </c>
      <c r="B87" s="5">
        <v>48</v>
      </c>
      <c r="C87" s="5" t="s">
        <v>455</v>
      </c>
      <c r="D87" s="5" t="s">
        <v>485</v>
      </c>
      <c r="I87" s="5" t="s">
        <v>221</v>
      </c>
    </row>
    <row r="88" spans="1:9" x14ac:dyDescent="0.15">
      <c r="A88" s="5" t="s">
        <v>12</v>
      </c>
      <c r="B88" s="5">
        <v>49</v>
      </c>
      <c r="C88" s="5" t="s">
        <v>456</v>
      </c>
      <c r="D88" s="5" t="s">
        <v>486</v>
      </c>
      <c r="I88" s="5" t="s">
        <v>221</v>
      </c>
    </row>
    <row r="89" spans="1:9" x14ac:dyDescent="0.15">
      <c r="A89" s="5" t="s">
        <v>12</v>
      </c>
      <c r="B89" s="5">
        <v>50</v>
      </c>
      <c r="C89" s="5" t="s">
        <v>139</v>
      </c>
      <c r="D89" s="5" t="s">
        <v>225</v>
      </c>
      <c r="I89" s="5" t="s">
        <v>224</v>
      </c>
    </row>
    <row r="90" spans="1:9" x14ac:dyDescent="0.15">
      <c r="A90" s="5" t="s">
        <v>12</v>
      </c>
      <c r="B90" s="5">
        <v>51</v>
      </c>
      <c r="C90" s="5" t="s">
        <v>457</v>
      </c>
      <c r="D90" s="5" t="s">
        <v>487</v>
      </c>
      <c r="I90" s="5" t="s">
        <v>221</v>
      </c>
    </row>
    <row r="91" spans="1:9" x14ac:dyDescent="0.15">
      <c r="A91" s="5" t="s">
        <v>12</v>
      </c>
      <c r="B91" s="5">
        <v>52</v>
      </c>
      <c r="C91" s="5" t="s">
        <v>458</v>
      </c>
      <c r="D91" s="5" t="s">
        <v>488</v>
      </c>
      <c r="I91" s="5" t="s">
        <v>221</v>
      </c>
    </row>
    <row r="92" spans="1:9" x14ac:dyDescent="0.15">
      <c r="A92" s="5" t="s">
        <v>12</v>
      </c>
      <c r="B92" s="5">
        <v>53</v>
      </c>
      <c r="C92" s="5" t="s">
        <v>459</v>
      </c>
      <c r="D92" s="5" t="s">
        <v>489</v>
      </c>
      <c r="I92" s="5" t="s">
        <v>221</v>
      </c>
    </row>
    <row r="93" spans="1:9" x14ac:dyDescent="0.15">
      <c r="A93" s="5" t="s">
        <v>12</v>
      </c>
      <c r="B93" s="5">
        <v>54</v>
      </c>
      <c r="C93" s="5" t="s">
        <v>460</v>
      </c>
      <c r="D93" s="5" t="s">
        <v>490</v>
      </c>
      <c r="I93" s="5" t="s">
        <v>221</v>
      </c>
    </row>
    <row r="94" spans="1:9" x14ac:dyDescent="0.15">
      <c r="A94" s="5" t="s">
        <v>12</v>
      </c>
      <c r="B94" s="5">
        <v>55</v>
      </c>
      <c r="C94" s="5" t="s">
        <v>39</v>
      </c>
      <c r="D94" s="5" t="s">
        <v>226</v>
      </c>
      <c r="G94" s="5" t="s">
        <v>206</v>
      </c>
    </row>
    <row r="95" spans="1:9" x14ac:dyDescent="0.15">
      <c r="A95" s="5" t="s">
        <v>12</v>
      </c>
      <c r="B95" s="5">
        <v>56</v>
      </c>
      <c r="C95" s="5" t="s">
        <v>40</v>
      </c>
      <c r="D95" s="5" t="s">
        <v>227</v>
      </c>
    </row>
    <row r="96" spans="1:9" x14ac:dyDescent="0.15">
      <c r="A96" s="5" t="s">
        <v>12</v>
      </c>
      <c r="B96" s="5">
        <v>57</v>
      </c>
      <c r="C96" s="5" t="s">
        <v>42</v>
      </c>
      <c r="D96" s="5" t="s">
        <v>228</v>
      </c>
      <c r="G96" s="5" t="s">
        <v>207</v>
      </c>
    </row>
    <row r="97" spans="1:9" x14ac:dyDescent="0.15">
      <c r="A97" s="5" t="s">
        <v>12</v>
      </c>
      <c r="B97" s="5">
        <v>58</v>
      </c>
      <c r="C97" s="5" t="s">
        <v>435</v>
      </c>
      <c r="D97" s="5" t="s">
        <v>230</v>
      </c>
      <c r="I97" s="5" t="s">
        <v>229</v>
      </c>
    </row>
    <row r="98" spans="1:9" x14ac:dyDescent="0.15">
      <c r="A98" s="5" t="s">
        <v>12</v>
      </c>
      <c r="B98" s="5">
        <v>59</v>
      </c>
      <c r="C98" s="5" t="s">
        <v>436</v>
      </c>
      <c r="D98" s="5" t="s">
        <v>231</v>
      </c>
      <c r="I98" s="5" t="s">
        <v>229</v>
      </c>
    </row>
    <row r="99" spans="1:9" x14ac:dyDescent="0.15">
      <c r="A99" s="5" t="s">
        <v>12</v>
      </c>
      <c r="B99" s="5">
        <v>60</v>
      </c>
      <c r="C99" s="5" t="s">
        <v>437</v>
      </c>
      <c r="D99" s="5" t="s">
        <v>230</v>
      </c>
      <c r="I99" s="5" t="s">
        <v>229</v>
      </c>
    </row>
    <row r="100" spans="1:9" x14ac:dyDescent="0.15">
      <c r="A100" s="5" t="s">
        <v>12</v>
      </c>
      <c r="B100" s="5">
        <v>61</v>
      </c>
      <c r="C100" s="5" t="s">
        <v>438</v>
      </c>
      <c r="D100" s="5" t="s">
        <v>232</v>
      </c>
      <c r="I100" s="5" t="s">
        <v>229</v>
      </c>
    </row>
    <row r="101" spans="1:9" x14ac:dyDescent="0.15">
      <c r="A101" s="5" t="s">
        <v>12</v>
      </c>
      <c r="B101" s="5">
        <v>62</v>
      </c>
      <c r="C101" s="5" t="s">
        <v>439</v>
      </c>
      <c r="D101" s="5" t="s">
        <v>230</v>
      </c>
      <c r="I101" s="5" t="s">
        <v>229</v>
      </c>
    </row>
    <row r="102" spans="1:9" x14ac:dyDescent="0.15">
      <c r="A102" s="5" t="s">
        <v>12</v>
      </c>
      <c r="B102" s="5">
        <v>63</v>
      </c>
      <c r="C102" s="5" t="s">
        <v>440</v>
      </c>
      <c r="D102" s="5" t="s">
        <v>233</v>
      </c>
      <c r="I102" s="5" t="s">
        <v>229</v>
      </c>
    </row>
    <row r="103" spans="1:9" x14ac:dyDescent="0.15">
      <c r="A103" s="5" t="s">
        <v>12</v>
      </c>
      <c r="B103" s="5">
        <v>64</v>
      </c>
      <c r="C103" s="5" t="s">
        <v>441</v>
      </c>
      <c r="D103" s="5" t="s">
        <v>230</v>
      </c>
      <c r="I103" s="5" t="s">
        <v>229</v>
      </c>
    </row>
    <row r="104" spans="1:9" x14ac:dyDescent="0.15">
      <c r="A104" s="5" t="s">
        <v>12</v>
      </c>
      <c r="B104" s="5">
        <v>65</v>
      </c>
      <c r="C104" s="5" t="s">
        <v>442</v>
      </c>
      <c r="D104" s="5" t="s">
        <v>234</v>
      </c>
      <c r="I104" s="5" t="s">
        <v>229</v>
      </c>
    </row>
    <row r="105" spans="1:9" x14ac:dyDescent="0.15">
      <c r="A105" s="5" t="s">
        <v>12</v>
      </c>
      <c r="B105" s="5">
        <v>66</v>
      </c>
      <c r="C105" s="5" t="s">
        <v>443</v>
      </c>
      <c r="D105" s="5" t="s">
        <v>230</v>
      </c>
      <c r="I105" s="5" t="s">
        <v>229</v>
      </c>
    </row>
    <row r="106" spans="1:9" x14ac:dyDescent="0.15">
      <c r="A106" s="5" t="s">
        <v>12</v>
      </c>
      <c r="B106" s="5">
        <v>67</v>
      </c>
      <c r="C106" s="5" t="s">
        <v>444</v>
      </c>
      <c r="D106" s="5" t="s">
        <v>235</v>
      </c>
      <c r="I106" s="5" t="s">
        <v>229</v>
      </c>
    </row>
    <row r="107" spans="1:9" x14ac:dyDescent="0.15">
      <c r="A107" s="5" t="s">
        <v>12</v>
      </c>
      <c r="B107" s="5">
        <v>68</v>
      </c>
      <c r="C107" s="5" t="s">
        <v>445</v>
      </c>
      <c r="D107" s="5" t="s">
        <v>230</v>
      </c>
      <c r="I107" s="5" t="s">
        <v>229</v>
      </c>
    </row>
    <row r="108" spans="1:9" x14ac:dyDescent="0.15">
      <c r="A108" s="5" t="s">
        <v>12</v>
      </c>
      <c r="B108" s="5">
        <v>69</v>
      </c>
      <c r="C108" s="5" t="s">
        <v>446</v>
      </c>
      <c r="D108" s="5" t="s">
        <v>236</v>
      </c>
      <c r="I108" s="5" t="s">
        <v>229</v>
      </c>
    </row>
    <row r="109" spans="1:9" x14ac:dyDescent="0.15">
      <c r="A109" s="5" t="s">
        <v>12</v>
      </c>
      <c r="B109" s="5">
        <v>70</v>
      </c>
      <c r="C109" s="5" t="s">
        <v>447</v>
      </c>
      <c r="D109" s="5" t="s">
        <v>230</v>
      </c>
      <c r="I109" s="5" t="s">
        <v>229</v>
      </c>
    </row>
    <row r="110" spans="1:9" x14ac:dyDescent="0.15">
      <c r="A110" s="5" t="s">
        <v>12</v>
      </c>
      <c r="B110" s="5">
        <v>71</v>
      </c>
      <c r="C110" s="5" t="s">
        <v>448</v>
      </c>
      <c r="D110" s="5" t="s">
        <v>237</v>
      </c>
      <c r="I110" s="5" t="s">
        <v>229</v>
      </c>
    </row>
    <row r="111" spans="1:9" x14ac:dyDescent="0.15">
      <c r="A111" s="5" t="s">
        <v>12</v>
      </c>
      <c r="B111" s="5">
        <v>72</v>
      </c>
      <c r="C111" s="5" t="s">
        <v>449</v>
      </c>
      <c r="D111" s="5" t="s">
        <v>230</v>
      </c>
      <c r="I111" s="5" t="s">
        <v>229</v>
      </c>
    </row>
    <row r="112" spans="1:9" x14ac:dyDescent="0.15">
      <c r="A112" s="5" t="s">
        <v>12</v>
      </c>
      <c r="B112" s="5">
        <v>73</v>
      </c>
      <c r="C112" s="5" t="s">
        <v>450</v>
      </c>
      <c r="D112" s="5" t="s">
        <v>238</v>
      </c>
      <c r="I112" s="5" t="s">
        <v>229</v>
      </c>
    </row>
    <row r="113" spans="1:9" x14ac:dyDescent="0.15">
      <c r="A113" s="5" t="s">
        <v>12</v>
      </c>
      <c r="B113" s="5">
        <v>74</v>
      </c>
      <c r="C113" s="5" t="s">
        <v>169</v>
      </c>
      <c r="D113" s="5" t="s">
        <v>491</v>
      </c>
      <c r="I113" s="5" t="s">
        <v>239</v>
      </c>
    </row>
    <row r="114" spans="1:9" x14ac:dyDescent="0.15">
      <c r="A114" s="5" t="s">
        <v>12</v>
      </c>
      <c r="B114" s="5">
        <v>75</v>
      </c>
      <c r="C114" s="5" t="s">
        <v>509</v>
      </c>
      <c r="D114" s="5" t="s">
        <v>492</v>
      </c>
      <c r="I114" s="5" t="s">
        <v>239</v>
      </c>
    </row>
    <row r="115" spans="1:9" x14ac:dyDescent="0.15">
      <c r="A115" s="5" t="s">
        <v>12</v>
      </c>
      <c r="B115" s="5">
        <v>76</v>
      </c>
      <c r="C115" s="5" t="s">
        <v>90</v>
      </c>
      <c r="D115" s="5" t="s">
        <v>493</v>
      </c>
      <c r="I115" s="5" t="s">
        <v>239</v>
      </c>
    </row>
    <row r="116" spans="1:9" x14ac:dyDescent="0.15">
      <c r="A116" s="5" t="s">
        <v>12</v>
      </c>
      <c r="B116" s="5">
        <v>77</v>
      </c>
      <c r="C116" s="5" t="s">
        <v>91</v>
      </c>
      <c r="D116" s="5" t="s">
        <v>494</v>
      </c>
      <c r="I116" s="5" t="s">
        <v>239</v>
      </c>
    </row>
    <row r="117" spans="1:9" x14ac:dyDescent="0.15">
      <c r="A117" s="5" t="s">
        <v>12</v>
      </c>
      <c r="B117" s="5">
        <v>78</v>
      </c>
      <c r="C117" s="5" t="s">
        <v>89</v>
      </c>
      <c r="D117" s="5" t="s">
        <v>495</v>
      </c>
      <c r="I117" s="5" t="s">
        <v>239</v>
      </c>
    </row>
    <row r="118" spans="1:9" x14ac:dyDescent="0.15">
      <c r="A118" s="5" t="s">
        <v>12</v>
      </c>
      <c r="B118" s="5">
        <v>79</v>
      </c>
      <c r="C118" s="5" t="s">
        <v>240</v>
      </c>
      <c r="D118" s="5" t="s">
        <v>496</v>
      </c>
      <c r="I118" s="5" t="s">
        <v>239</v>
      </c>
    </row>
    <row r="119" spans="1:9" x14ac:dyDescent="0.15">
      <c r="A119" s="5" t="s">
        <v>12</v>
      </c>
      <c r="B119" s="5">
        <v>80</v>
      </c>
      <c r="C119" s="5" t="s">
        <v>92</v>
      </c>
      <c r="D119" s="5" t="s">
        <v>497</v>
      </c>
      <c r="I119" s="5" t="s">
        <v>239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Y40"/>
  <sheetViews>
    <sheetView workbookViewId="0">
      <selection activeCell="K17" sqref="K17"/>
    </sheetView>
  </sheetViews>
  <sheetFormatPr baseColWidth="10" defaultColWidth="8.83203125" defaultRowHeight="14" x14ac:dyDescent="0.15"/>
  <cols>
    <col min="1" max="9" width="8.83203125" style="6"/>
    <col min="10" max="10" width="12.1640625" style="6" customWidth="1"/>
    <col min="11" max="11" width="10.5" style="6" customWidth="1"/>
    <col min="12" max="12" width="14.5" style="6" customWidth="1"/>
    <col min="13" max="13" width="14.83203125" style="6" customWidth="1"/>
    <col min="14" max="14" width="14" style="6" bestFit="1" customWidth="1"/>
    <col min="15" max="18" width="8.83203125" style="6"/>
    <col min="19" max="19" width="6.5" style="6" bestFit="1" customWidth="1"/>
    <col min="20" max="20" width="20.83203125" style="6" customWidth="1"/>
    <col min="21" max="16384" width="8.83203125" style="6"/>
  </cols>
  <sheetData>
    <row r="1" spans="1:25" x14ac:dyDescent="0.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</row>
    <row r="2" spans="1:25" x14ac:dyDescent="0.15">
      <c r="A2" s="6" t="s">
        <v>1</v>
      </c>
      <c r="B2" s="6" t="s">
        <v>124</v>
      </c>
      <c r="C2" s="6" t="s">
        <v>125</v>
      </c>
      <c r="D2" s="6" t="s">
        <v>6</v>
      </c>
      <c r="E2" s="6" t="s">
        <v>107</v>
      </c>
      <c r="F2" s="6" t="s">
        <v>108</v>
      </c>
      <c r="G2" s="21" t="s">
        <v>522</v>
      </c>
      <c r="H2" s="6" t="s">
        <v>499</v>
      </c>
      <c r="I2" s="6" t="s">
        <v>109</v>
      </c>
      <c r="J2" s="6" t="s">
        <v>110</v>
      </c>
      <c r="K2" s="6" t="s">
        <v>111</v>
      </c>
      <c r="L2" s="6" t="s">
        <v>13</v>
      </c>
      <c r="M2" s="6" t="s">
        <v>113</v>
      </c>
      <c r="N2" s="6" t="s">
        <v>144</v>
      </c>
      <c r="O2" s="6" t="s">
        <v>150</v>
      </c>
      <c r="P2" s="6" t="s">
        <v>151</v>
      </c>
      <c r="Q2" s="6" t="s">
        <v>152</v>
      </c>
      <c r="R2" s="6" t="s">
        <v>153</v>
      </c>
      <c r="S2" s="6" t="s">
        <v>568</v>
      </c>
      <c r="T2" s="6" t="s">
        <v>569</v>
      </c>
      <c r="U2" s="6" t="s">
        <v>570</v>
      </c>
    </row>
    <row r="3" spans="1:25" x14ac:dyDescent="0.15">
      <c r="A3" s="6">
        <v>100</v>
      </c>
      <c r="B3" s="6">
        <v>0.09</v>
      </c>
      <c r="C3" s="6">
        <v>0.09</v>
      </c>
      <c r="D3" s="6">
        <v>0.95</v>
      </c>
      <c r="E3" s="6">
        <v>0.48</v>
      </c>
      <c r="F3" s="6">
        <v>0.48</v>
      </c>
      <c r="G3" s="6">
        <v>0.48</v>
      </c>
      <c r="H3" s="6">
        <v>0.48</v>
      </c>
      <c r="I3" s="6">
        <v>3</v>
      </c>
      <c r="J3" s="6">
        <v>10</v>
      </c>
      <c r="K3" s="6">
        <v>3</v>
      </c>
      <c r="L3" s="6">
        <v>50</v>
      </c>
      <c r="M3" s="6">
        <v>190</v>
      </c>
      <c r="N3" s="6">
        <v>40</v>
      </c>
      <c r="O3" s="6">
        <v>800</v>
      </c>
      <c r="P3" s="6">
        <v>800</v>
      </c>
      <c r="Q3" s="6">
        <v>800</v>
      </c>
      <c r="R3" s="6">
        <v>800</v>
      </c>
      <c r="S3" s="6">
        <v>200000</v>
      </c>
      <c r="T3" s="6">
        <v>1.2</v>
      </c>
      <c r="U3" s="6">
        <v>4</v>
      </c>
      <c r="V3" s="6" t="s">
        <v>12</v>
      </c>
      <c r="W3" s="6" t="s">
        <v>24</v>
      </c>
      <c r="X3" s="6" t="s">
        <v>21</v>
      </c>
    </row>
    <row r="4" spans="1:25" x14ac:dyDescent="0.15">
      <c r="A4" s="6">
        <v>150</v>
      </c>
      <c r="B4" s="6">
        <v>0.15</v>
      </c>
      <c r="C4" s="6">
        <v>0.15</v>
      </c>
      <c r="D4" s="6">
        <v>0.91</v>
      </c>
      <c r="E4" s="6">
        <v>0.25</v>
      </c>
      <c r="F4" s="6">
        <v>0.25</v>
      </c>
      <c r="G4" s="6">
        <v>0.25</v>
      </c>
      <c r="H4" s="6">
        <v>0.25</v>
      </c>
      <c r="I4" s="6">
        <v>3</v>
      </c>
      <c r="J4" s="6">
        <v>10</v>
      </c>
      <c r="K4" s="6">
        <v>3</v>
      </c>
      <c r="L4" s="6">
        <v>60</v>
      </c>
      <c r="M4" s="6">
        <v>190</v>
      </c>
      <c r="N4" s="6">
        <v>100</v>
      </c>
      <c r="O4" s="6">
        <v>750</v>
      </c>
      <c r="P4" s="6">
        <v>750</v>
      </c>
      <c r="Q4" s="6">
        <v>750</v>
      </c>
      <c r="R4" s="6">
        <v>750</v>
      </c>
      <c r="S4" s="6">
        <v>200000</v>
      </c>
      <c r="T4" s="6">
        <v>1.2</v>
      </c>
      <c r="U4" s="6">
        <v>4</v>
      </c>
      <c r="V4" s="6" t="s">
        <v>12</v>
      </c>
      <c r="W4" s="6" t="s">
        <v>4</v>
      </c>
      <c r="X4" s="6" t="s">
        <v>21</v>
      </c>
    </row>
    <row r="5" spans="1:25" s="7" customFormat="1" x14ac:dyDescent="0.15">
      <c r="A5" s="7">
        <v>551</v>
      </c>
      <c r="B5" s="7">
        <v>0.1</v>
      </c>
      <c r="C5" s="7">
        <v>0.1</v>
      </c>
      <c r="D5" s="7">
        <v>0.95</v>
      </c>
      <c r="E5" s="7">
        <v>0.48</v>
      </c>
      <c r="F5" s="7">
        <v>0.48</v>
      </c>
      <c r="G5" s="7">
        <v>0.6</v>
      </c>
      <c r="H5" s="7">
        <v>0.48</v>
      </c>
      <c r="I5" s="7">
        <v>3</v>
      </c>
      <c r="J5" s="7">
        <v>10</v>
      </c>
      <c r="K5" s="7">
        <v>3</v>
      </c>
      <c r="L5" s="7">
        <v>551</v>
      </c>
      <c r="M5" s="8">
        <v>-999</v>
      </c>
      <c r="N5" s="8">
        <v>-999</v>
      </c>
      <c r="O5" s="7">
        <v>800</v>
      </c>
      <c r="P5" s="7">
        <v>800</v>
      </c>
      <c r="Q5" s="7">
        <v>800</v>
      </c>
      <c r="R5" s="7">
        <v>800</v>
      </c>
      <c r="S5" s="6">
        <v>200000</v>
      </c>
      <c r="T5" s="6">
        <v>1.2</v>
      </c>
      <c r="U5" s="6">
        <v>4</v>
      </c>
      <c r="V5" s="7" t="s">
        <v>566</v>
      </c>
      <c r="W5" s="7" t="s">
        <v>83</v>
      </c>
      <c r="X5" s="7" t="s">
        <v>359</v>
      </c>
      <c r="Y5" s="8" t="s">
        <v>360</v>
      </c>
    </row>
    <row r="6" spans="1:25" s="7" customFormat="1" x14ac:dyDescent="0.15">
      <c r="A6" s="7">
        <v>552</v>
      </c>
      <c r="B6" s="7">
        <v>0.12</v>
      </c>
      <c r="C6" s="7">
        <v>0.12</v>
      </c>
      <c r="D6" s="7">
        <v>0.91</v>
      </c>
      <c r="E6" s="7">
        <v>0.25</v>
      </c>
      <c r="F6" s="7">
        <v>0.25</v>
      </c>
      <c r="G6" s="7">
        <v>0.6</v>
      </c>
      <c r="H6" s="7">
        <v>0.25</v>
      </c>
      <c r="I6" s="7">
        <v>3</v>
      </c>
      <c r="J6" s="7">
        <v>10</v>
      </c>
      <c r="K6" s="7">
        <v>3</v>
      </c>
      <c r="L6" s="7">
        <v>552</v>
      </c>
      <c r="M6" s="8">
        <v>-999</v>
      </c>
      <c r="N6" s="8">
        <v>-999</v>
      </c>
      <c r="O6" s="7">
        <v>799</v>
      </c>
      <c r="P6" s="7">
        <v>799</v>
      </c>
      <c r="Q6" s="7">
        <v>799</v>
      </c>
      <c r="R6" s="7">
        <v>799</v>
      </c>
      <c r="S6" s="6">
        <v>200000</v>
      </c>
      <c r="T6" s="6">
        <v>1.2</v>
      </c>
      <c r="U6" s="6">
        <v>4</v>
      </c>
      <c r="V6" s="7" t="s">
        <v>12</v>
      </c>
      <c r="W6" s="7" t="s">
        <v>510</v>
      </c>
      <c r="X6" s="7" t="s">
        <v>359</v>
      </c>
      <c r="Y6" s="8" t="s">
        <v>360</v>
      </c>
    </row>
    <row r="7" spans="1:25" s="7" customFormat="1" x14ac:dyDescent="0.15">
      <c r="A7" s="7">
        <v>553</v>
      </c>
      <c r="B7" s="7">
        <v>0.18</v>
      </c>
      <c r="C7" s="7">
        <v>0.18</v>
      </c>
      <c r="D7" s="7">
        <v>0.94</v>
      </c>
      <c r="E7" s="7">
        <v>0.8</v>
      </c>
      <c r="F7" s="7">
        <v>0.8</v>
      </c>
      <c r="G7" s="7">
        <v>1</v>
      </c>
      <c r="H7" s="7">
        <v>0.8</v>
      </c>
      <c r="I7" s="7">
        <v>3</v>
      </c>
      <c r="J7" s="7">
        <v>10</v>
      </c>
      <c r="K7" s="7">
        <v>3</v>
      </c>
      <c r="L7" s="7">
        <v>553</v>
      </c>
      <c r="M7" s="8">
        <v>-999</v>
      </c>
      <c r="N7" s="7">
        <v>-999</v>
      </c>
      <c r="O7" s="7">
        <v>55</v>
      </c>
      <c r="P7" s="7">
        <v>55</v>
      </c>
      <c r="Q7" s="7">
        <v>55</v>
      </c>
      <c r="R7" s="7">
        <v>55</v>
      </c>
      <c r="S7" s="6">
        <v>200000</v>
      </c>
      <c r="T7" s="6">
        <v>1.2</v>
      </c>
      <c r="U7" s="6">
        <v>4</v>
      </c>
      <c r="V7" s="7" t="s">
        <v>12</v>
      </c>
      <c r="W7" s="7" t="s">
        <v>567</v>
      </c>
      <c r="X7" s="7" t="s">
        <v>359</v>
      </c>
      <c r="Y7" s="8" t="s">
        <v>360</v>
      </c>
    </row>
    <row r="8" spans="1:25" s="9" customFormat="1" x14ac:dyDescent="0.15">
      <c r="A8" s="9">
        <v>661</v>
      </c>
      <c r="B8" s="9">
        <v>0.1</v>
      </c>
      <c r="C8" s="9">
        <v>0.1</v>
      </c>
      <c r="D8" s="9">
        <v>0.95</v>
      </c>
      <c r="E8" s="9">
        <v>0.48</v>
      </c>
      <c r="F8" s="9">
        <v>0.48</v>
      </c>
      <c r="G8" s="9">
        <v>0.6</v>
      </c>
      <c r="H8" s="9">
        <v>0.48</v>
      </c>
      <c r="I8" s="9">
        <v>3</v>
      </c>
      <c r="J8" s="9">
        <v>10</v>
      </c>
      <c r="K8" s="9">
        <v>3</v>
      </c>
      <c r="L8" s="9">
        <v>661</v>
      </c>
      <c r="M8" s="10">
        <v>-999</v>
      </c>
      <c r="N8" s="10">
        <v>-999</v>
      </c>
      <c r="O8" s="9">
        <v>800</v>
      </c>
      <c r="P8" s="9">
        <v>800</v>
      </c>
      <c r="Q8" s="9">
        <v>800</v>
      </c>
      <c r="R8" s="9">
        <v>800</v>
      </c>
      <c r="S8" s="6">
        <v>200000</v>
      </c>
      <c r="T8" s="6">
        <v>1.2</v>
      </c>
      <c r="U8" s="6">
        <v>4</v>
      </c>
      <c r="V8" s="9" t="s">
        <v>12</v>
      </c>
      <c r="W8" s="9" t="s">
        <v>83</v>
      </c>
      <c r="X8" s="9" t="s">
        <v>512</v>
      </c>
    </row>
    <row r="9" spans="1:25" s="9" customFormat="1" x14ac:dyDescent="0.15">
      <c r="A9" s="9">
        <v>662</v>
      </c>
      <c r="B9" s="9">
        <v>0.12</v>
      </c>
      <c r="C9" s="9">
        <v>0.12</v>
      </c>
      <c r="D9" s="9">
        <v>0.91</v>
      </c>
      <c r="E9" s="9">
        <v>0.25</v>
      </c>
      <c r="F9" s="9">
        <v>0.25</v>
      </c>
      <c r="G9" s="9">
        <v>0.6</v>
      </c>
      <c r="H9" s="9">
        <v>0.25</v>
      </c>
      <c r="I9" s="9">
        <v>3</v>
      </c>
      <c r="J9" s="9">
        <v>10</v>
      </c>
      <c r="K9" s="9">
        <v>3</v>
      </c>
      <c r="L9" s="9">
        <v>661</v>
      </c>
      <c r="M9" s="10">
        <v>-999</v>
      </c>
      <c r="N9" s="10">
        <v>-999</v>
      </c>
      <c r="O9" s="9">
        <v>799</v>
      </c>
      <c r="P9" s="9">
        <v>799</v>
      </c>
      <c r="Q9" s="9">
        <v>799</v>
      </c>
      <c r="R9" s="9">
        <v>799</v>
      </c>
      <c r="S9" s="6">
        <v>200000</v>
      </c>
      <c r="T9" s="6">
        <v>1.2</v>
      </c>
      <c r="U9" s="6">
        <v>4</v>
      </c>
      <c r="V9" s="9" t="s">
        <v>12</v>
      </c>
      <c r="W9" s="9" t="s">
        <v>510</v>
      </c>
      <c r="X9" s="9" t="s">
        <v>512</v>
      </c>
    </row>
    <row r="10" spans="1:25" s="9" customFormat="1" x14ac:dyDescent="0.15">
      <c r="A10" s="10">
        <v>663</v>
      </c>
      <c r="B10" s="10">
        <v>0.18</v>
      </c>
      <c r="C10" s="10">
        <v>0.18</v>
      </c>
      <c r="D10" s="10">
        <v>0.94</v>
      </c>
      <c r="E10" s="10">
        <v>0.8</v>
      </c>
      <c r="F10" s="10">
        <v>0.8</v>
      </c>
      <c r="G10" s="10">
        <v>1</v>
      </c>
      <c r="H10" s="10">
        <v>0.8</v>
      </c>
      <c r="I10" s="10">
        <v>3</v>
      </c>
      <c r="J10" s="10">
        <v>10</v>
      </c>
      <c r="K10" s="10">
        <v>3</v>
      </c>
      <c r="L10" s="10">
        <v>661</v>
      </c>
      <c r="M10" s="10">
        <v>-999</v>
      </c>
      <c r="N10" s="10">
        <v>-999</v>
      </c>
      <c r="O10" s="10">
        <v>55</v>
      </c>
      <c r="P10" s="10">
        <v>55</v>
      </c>
      <c r="Q10" s="10">
        <v>55</v>
      </c>
      <c r="R10" s="10">
        <v>55</v>
      </c>
      <c r="S10" s="6">
        <v>200000</v>
      </c>
      <c r="T10" s="6">
        <v>1.2</v>
      </c>
      <c r="U10" s="6">
        <v>4</v>
      </c>
      <c r="V10" s="10" t="s">
        <v>12</v>
      </c>
      <c r="W10" s="10" t="s">
        <v>513</v>
      </c>
      <c r="X10" s="9" t="s">
        <v>512</v>
      </c>
    </row>
    <row r="11" spans="1:25" s="68" customFormat="1" x14ac:dyDescent="0.15">
      <c r="A11" s="68">
        <v>33661</v>
      </c>
      <c r="B11" s="68">
        <v>0.1</v>
      </c>
      <c r="C11" s="68">
        <v>0.1</v>
      </c>
      <c r="D11" s="68">
        <v>0.95</v>
      </c>
      <c r="E11" s="68">
        <v>0.48</v>
      </c>
      <c r="F11" s="68">
        <v>0.48</v>
      </c>
      <c r="G11" s="68">
        <v>0.6</v>
      </c>
      <c r="H11" s="68">
        <v>0.48</v>
      </c>
      <c r="I11" s="68">
        <v>3</v>
      </c>
      <c r="J11" s="68">
        <v>10</v>
      </c>
      <c r="K11" s="68">
        <v>3</v>
      </c>
      <c r="L11" s="68">
        <v>33661</v>
      </c>
      <c r="M11" s="68">
        <v>-999</v>
      </c>
      <c r="N11" s="69">
        <v>-999</v>
      </c>
      <c r="O11" s="68">
        <v>800</v>
      </c>
      <c r="P11" s="68">
        <v>800</v>
      </c>
      <c r="Q11" s="68">
        <v>800</v>
      </c>
      <c r="R11" s="68">
        <v>800</v>
      </c>
      <c r="S11" s="6">
        <v>200000</v>
      </c>
      <c r="T11" s="6">
        <v>1.2</v>
      </c>
      <c r="U11" s="6">
        <v>4</v>
      </c>
      <c r="V11" s="68" t="s">
        <v>12</v>
      </c>
      <c r="W11" s="68" t="s">
        <v>83</v>
      </c>
      <c r="X11" s="68" t="s">
        <v>562</v>
      </c>
    </row>
    <row r="12" spans="1:25" s="68" customFormat="1" x14ac:dyDescent="0.15">
      <c r="A12" s="68">
        <v>33662</v>
      </c>
      <c r="B12" s="68">
        <v>0.12</v>
      </c>
      <c r="C12" s="68">
        <v>0.12</v>
      </c>
      <c r="D12" s="68">
        <v>0.91</v>
      </c>
      <c r="E12" s="68">
        <v>0.25</v>
      </c>
      <c r="F12" s="68">
        <v>0.25</v>
      </c>
      <c r="G12" s="68">
        <v>0.6</v>
      </c>
      <c r="H12" s="68">
        <v>0.25</v>
      </c>
      <c r="I12" s="68">
        <v>3</v>
      </c>
      <c r="J12" s="68">
        <v>10</v>
      </c>
      <c r="K12" s="68">
        <v>3</v>
      </c>
      <c r="L12" s="68">
        <v>33661</v>
      </c>
      <c r="M12" s="68">
        <v>-999</v>
      </c>
      <c r="N12" s="69">
        <v>-999</v>
      </c>
      <c r="O12" s="68">
        <v>799</v>
      </c>
      <c r="P12" s="68">
        <v>799</v>
      </c>
      <c r="Q12" s="68">
        <v>799</v>
      </c>
      <c r="R12" s="68">
        <v>799</v>
      </c>
      <c r="S12" s="6">
        <v>200000</v>
      </c>
      <c r="T12" s="6">
        <v>1.2</v>
      </c>
      <c r="U12" s="6">
        <v>4</v>
      </c>
      <c r="V12" s="68" t="s">
        <v>12</v>
      </c>
      <c r="W12" s="68" t="s">
        <v>510</v>
      </c>
      <c r="X12" s="68" t="s">
        <v>562</v>
      </c>
    </row>
    <row r="13" spans="1:25" s="68" customFormat="1" x14ac:dyDescent="0.15">
      <c r="A13" s="69">
        <v>33663</v>
      </c>
      <c r="B13" s="69">
        <v>0.18</v>
      </c>
      <c r="C13" s="69">
        <v>0.18</v>
      </c>
      <c r="D13" s="69">
        <v>0.94</v>
      </c>
      <c r="E13" s="69">
        <v>0.8</v>
      </c>
      <c r="F13" s="69">
        <v>0.8</v>
      </c>
      <c r="G13" s="69">
        <v>1</v>
      </c>
      <c r="H13" s="69">
        <v>0.8</v>
      </c>
      <c r="I13" s="68">
        <v>3</v>
      </c>
      <c r="J13" s="68">
        <v>10</v>
      </c>
      <c r="K13" s="68">
        <v>3</v>
      </c>
      <c r="L13" s="69">
        <v>33661</v>
      </c>
      <c r="M13" s="69">
        <v>-999</v>
      </c>
      <c r="N13" s="69">
        <v>-999</v>
      </c>
      <c r="O13" s="69">
        <v>55</v>
      </c>
      <c r="P13" s="69">
        <v>55</v>
      </c>
      <c r="Q13" s="69">
        <v>55</v>
      </c>
      <c r="R13" s="69">
        <v>55</v>
      </c>
      <c r="S13" s="6">
        <v>200000</v>
      </c>
      <c r="T13" s="6">
        <v>1.2</v>
      </c>
      <c r="U13" s="6">
        <v>4</v>
      </c>
      <c r="V13" s="69" t="s">
        <v>12</v>
      </c>
      <c r="W13" s="69" t="s">
        <v>97</v>
      </c>
      <c r="X13" s="68" t="s">
        <v>562</v>
      </c>
    </row>
    <row r="14" spans="1:25" x14ac:dyDescent="0.15">
      <c r="A14" s="6">
        <v>-9</v>
      </c>
      <c r="O14" s="11"/>
      <c r="P14" s="11"/>
      <c r="Q14" s="11"/>
      <c r="R14" s="11"/>
      <c r="S14" s="11"/>
      <c r="T14" s="11"/>
    </row>
    <row r="15" spans="1:25" x14ac:dyDescent="0.15">
      <c r="A15" s="6">
        <v>-9</v>
      </c>
      <c r="O15" s="11"/>
      <c r="P15" s="11"/>
      <c r="Q15" s="11"/>
      <c r="R15" s="11"/>
      <c r="S15" s="11"/>
      <c r="T15" s="11"/>
    </row>
    <row r="16" spans="1:25" x14ac:dyDescent="0.15">
      <c r="O16" s="11"/>
      <c r="P16" s="11"/>
      <c r="Q16" s="11"/>
      <c r="R16" s="11"/>
      <c r="S16" s="11"/>
      <c r="T16" s="11"/>
    </row>
    <row r="17" spans="1:20" x14ac:dyDescent="0.15">
      <c r="A17" s="6" t="s">
        <v>12</v>
      </c>
      <c r="E17" s="18" t="s">
        <v>477</v>
      </c>
      <c r="O17" s="11"/>
      <c r="P17" s="11"/>
      <c r="Q17" s="11"/>
      <c r="R17" s="11"/>
      <c r="S17" s="11"/>
      <c r="T17" s="11"/>
    </row>
    <row r="18" spans="1:20" x14ac:dyDescent="0.15">
      <c r="A18" s="5" t="s">
        <v>12</v>
      </c>
      <c r="B18" s="5"/>
      <c r="C18" s="5">
        <v>1</v>
      </c>
      <c r="D18" s="5" t="s">
        <v>1</v>
      </c>
      <c r="E18" s="5" t="s">
        <v>498</v>
      </c>
      <c r="F18" s="5"/>
      <c r="G18" s="5"/>
      <c r="H18" s="5"/>
      <c r="I18" s="5"/>
      <c r="J18" s="5"/>
    </row>
    <row r="19" spans="1:20" x14ac:dyDescent="0.15">
      <c r="A19" s="6" t="s">
        <v>12</v>
      </c>
      <c r="C19" s="6">
        <v>2</v>
      </c>
      <c r="D19" s="6" t="s">
        <v>124</v>
      </c>
      <c r="E19" s="6" t="s">
        <v>527</v>
      </c>
    </row>
    <row r="20" spans="1:20" x14ac:dyDescent="0.15">
      <c r="A20" s="6" t="s">
        <v>12</v>
      </c>
      <c r="C20" s="6">
        <v>3</v>
      </c>
      <c r="D20" s="6" t="s">
        <v>125</v>
      </c>
      <c r="E20" s="6" t="s">
        <v>526</v>
      </c>
    </row>
    <row r="21" spans="1:20" x14ac:dyDescent="0.15">
      <c r="A21" s="6" t="s">
        <v>12</v>
      </c>
      <c r="C21" s="6">
        <v>4</v>
      </c>
      <c r="D21" s="6" t="s">
        <v>6</v>
      </c>
      <c r="E21" s="6" t="s">
        <v>242</v>
      </c>
    </row>
    <row r="22" spans="1:20" x14ac:dyDescent="0.15">
      <c r="A22" s="6" t="s">
        <v>12</v>
      </c>
      <c r="C22" s="6">
        <v>5</v>
      </c>
      <c r="D22" s="6" t="s">
        <v>107</v>
      </c>
      <c r="E22" s="6" t="s">
        <v>243</v>
      </c>
      <c r="F22" s="11"/>
      <c r="G22" s="11"/>
      <c r="H22" s="11"/>
      <c r="J22" s="6" t="s">
        <v>207</v>
      </c>
    </row>
    <row r="23" spans="1:20" x14ac:dyDescent="0.15">
      <c r="A23" s="6" t="s">
        <v>12</v>
      </c>
      <c r="C23" s="6">
        <v>6</v>
      </c>
      <c r="D23" s="6" t="s">
        <v>108</v>
      </c>
      <c r="E23" s="6" t="s">
        <v>244</v>
      </c>
      <c r="J23" s="6" t="s">
        <v>207</v>
      </c>
    </row>
    <row r="24" spans="1:20" x14ac:dyDescent="0.15">
      <c r="A24" s="6" t="s">
        <v>12</v>
      </c>
      <c r="C24" s="6">
        <v>7</v>
      </c>
      <c r="D24" s="6" t="s">
        <v>522</v>
      </c>
      <c r="E24" s="6" t="s">
        <v>521</v>
      </c>
      <c r="J24" s="6" t="s">
        <v>207</v>
      </c>
    </row>
    <row r="25" spans="1:20" x14ac:dyDescent="0.15">
      <c r="A25" s="6" t="s">
        <v>12</v>
      </c>
      <c r="C25" s="5">
        <v>8</v>
      </c>
      <c r="D25" s="6" t="s">
        <v>499</v>
      </c>
      <c r="E25" s="6" t="s">
        <v>500</v>
      </c>
      <c r="J25" s="6" t="s">
        <v>207</v>
      </c>
    </row>
    <row r="26" spans="1:20" x14ac:dyDescent="0.15">
      <c r="A26" s="6" t="s">
        <v>12</v>
      </c>
      <c r="C26" s="6">
        <v>9</v>
      </c>
      <c r="D26" s="6" t="s">
        <v>109</v>
      </c>
      <c r="E26" s="6" t="s">
        <v>245</v>
      </c>
    </row>
    <row r="27" spans="1:20" x14ac:dyDescent="0.15">
      <c r="A27" s="6" t="s">
        <v>12</v>
      </c>
      <c r="C27" s="6">
        <v>10</v>
      </c>
      <c r="D27" s="6" t="s">
        <v>110</v>
      </c>
      <c r="E27" s="6" t="s">
        <v>246</v>
      </c>
    </row>
    <row r="28" spans="1:20" x14ac:dyDescent="0.15">
      <c r="A28" s="6" t="s">
        <v>12</v>
      </c>
      <c r="C28" s="6">
        <v>11</v>
      </c>
      <c r="D28" s="6" t="s">
        <v>111</v>
      </c>
      <c r="E28" s="6" t="s">
        <v>246</v>
      </c>
    </row>
    <row r="29" spans="1:20" x14ac:dyDescent="0.15">
      <c r="A29" s="6" t="s">
        <v>12</v>
      </c>
      <c r="C29" s="6">
        <v>12</v>
      </c>
      <c r="D29" s="6" t="s">
        <v>13</v>
      </c>
      <c r="E29" s="5" t="s">
        <v>247</v>
      </c>
    </row>
    <row r="30" spans="1:20" x14ac:dyDescent="0.15">
      <c r="A30" s="6" t="s">
        <v>12</v>
      </c>
      <c r="C30" s="6">
        <v>13</v>
      </c>
      <c r="D30" s="6" t="s">
        <v>113</v>
      </c>
      <c r="E30" s="6" t="s">
        <v>248</v>
      </c>
      <c r="J30" s="6" t="s">
        <v>207</v>
      </c>
    </row>
    <row r="31" spans="1:20" x14ac:dyDescent="0.15">
      <c r="A31" s="6" t="s">
        <v>12</v>
      </c>
      <c r="C31" s="5">
        <v>14</v>
      </c>
      <c r="D31" s="6" t="s">
        <v>144</v>
      </c>
      <c r="E31" s="6" t="s">
        <v>249</v>
      </c>
      <c r="J31" s="6" t="s">
        <v>207</v>
      </c>
    </row>
    <row r="32" spans="1:20" x14ac:dyDescent="0.15">
      <c r="A32" s="6" t="s">
        <v>12</v>
      </c>
      <c r="C32" s="6">
        <v>15</v>
      </c>
      <c r="D32" s="6" t="s">
        <v>150</v>
      </c>
    </row>
    <row r="33" spans="1:14" x14ac:dyDescent="0.15">
      <c r="A33" s="6" t="s">
        <v>12</v>
      </c>
      <c r="C33" s="6">
        <v>16</v>
      </c>
      <c r="D33" s="6" t="s">
        <v>151</v>
      </c>
    </row>
    <row r="34" spans="1:14" x14ac:dyDescent="0.15">
      <c r="A34" s="6" t="s">
        <v>12</v>
      </c>
      <c r="C34" s="6">
        <v>17</v>
      </c>
      <c r="D34" s="6" t="s">
        <v>152</v>
      </c>
      <c r="E34" s="12"/>
      <c r="F34" s="12"/>
      <c r="G34" s="12"/>
      <c r="H34" s="12"/>
      <c r="I34" s="12"/>
      <c r="J34" s="12"/>
      <c r="K34" s="12"/>
      <c r="L34" s="12"/>
      <c r="M34" s="12"/>
      <c r="N34" s="12"/>
    </row>
    <row r="35" spans="1:14" x14ac:dyDescent="0.15">
      <c r="A35" s="6" t="s">
        <v>12</v>
      </c>
      <c r="C35" s="6">
        <v>18</v>
      </c>
      <c r="D35" s="6" t="s">
        <v>153</v>
      </c>
      <c r="E35" s="12"/>
      <c r="F35" s="12"/>
      <c r="G35" s="12"/>
      <c r="H35" s="12"/>
      <c r="I35" s="12"/>
      <c r="J35" s="12"/>
      <c r="K35" s="12"/>
      <c r="L35" s="12"/>
      <c r="M35" s="12"/>
      <c r="N35" s="12"/>
    </row>
    <row r="36" spans="1:14" x14ac:dyDescent="0.15">
      <c r="C36" s="11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</row>
    <row r="37" spans="1:14" x14ac:dyDescent="0.15"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</row>
    <row r="38" spans="1:14" x14ac:dyDescent="0.15">
      <c r="D38" s="12"/>
      <c r="E38" s="1"/>
      <c r="F38" s="2"/>
      <c r="G38" s="2"/>
      <c r="H38" s="2"/>
      <c r="I38" s="12"/>
      <c r="J38" s="12"/>
      <c r="K38" s="3"/>
      <c r="L38" s="4"/>
      <c r="M38" s="4"/>
      <c r="N38" s="12"/>
    </row>
    <row r="39" spans="1:14" x14ac:dyDescent="0.15"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</row>
    <row r="40" spans="1:14" x14ac:dyDescent="0.15"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G53"/>
  <sheetViews>
    <sheetView topLeftCell="M1" workbookViewId="0">
      <selection activeCell="L21" sqref="L21"/>
    </sheetView>
  </sheetViews>
  <sheetFormatPr baseColWidth="10" defaultColWidth="8.83203125" defaultRowHeight="14" x14ac:dyDescent="0.15"/>
  <cols>
    <col min="1" max="11" width="8.83203125" style="13"/>
    <col min="12" max="12" width="16.33203125" style="13" customWidth="1"/>
    <col min="13" max="13" width="14.5" style="13" customWidth="1"/>
    <col min="14" max="29" width="8.83203125" style="13"/>
    <col min="30" max="30" width="6.5" style="13" bestFit="1" customWidth="1"/>
    <col min="31" max="31" width="4" style="13" bestFit="1" customWidth="1"/>
    <col min="32" max="16384" width="8.83203125" style="13"/>
  </cols>
  <sheetData>
    <row r="1" spans="1:33" x14ac:dyDescent="0.15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  <c r="P1" s="13">
        <v>16</v>
      </c>
      <c r="Q1" s="13">
        <v>17</v>
      </c>
      <c r="R1" s="13">
        <v>18</v>
      </c>
      <c r="S1" s="13">
        <v>19</v>
      </c>
      <c r="T1" s="13">
        <v>20</v>
      </c>
      <c r="U1" s="13">
        <v>21</v>
      </c>
      <c r="V1" s="13">
        <v>22</v>
      </c>
      <c r="W1" s="13">
        <v>23</v>
      </c>
      <c r="X1" s="13">
        <v>24</v>
      </c>
      <c r="Y1" s="13">
        <v>25</v>
      </c>
      <c r="Z1" s="13">
        <v>26</v>
      </c>
      <c r="AA1" s="13">
        <v>27</v>
      </c>
      <c r="AB1" s="13">
        <v>28</v>
      </c>
      <c r="AC1" s="13">
        <v>29</v>
      </c>
      <c r="AD1" s="13">
        <v>30</v>
      </c>
      <c r="AE1" s="13">
        <v>31</v>
      </c>
      <c r="AF1" s="13">
        <v>32</v>
      </c>
    </row>
    <row r="2" spans="1:33" x14ac:dyDescent="0.15">
      <c r="A2" s="13" t="s">
        <v>1</v>
      </c>
      <c r="B2" s="13" t="s">
        <v>124</v>
      </c>
      <c r="C2" s="13" t="s">
        <v>125</v>
      </c>
      <c r="D2" s="13" t="s">
        <v>6</v>
      </c>
      <c r="E2" s="13" t="s">
        <v>107</v>
      </c>
      <c r="F2" s="13" t="s">
        <v>108</v>
      </c>
      <c r="G2" s="21" t="s">
        <v>522</v>
      </c>
      <c r="H2" s="13" t="s">
        <v>499</v>
      </c>
      <c r="I2" s="13" t="s">
        <v>109</v>
      </c>
      <c r="J2" s="13" t="s">
        <v>110</v>
      </c>
      <c r="K2" s="13" t="s">
        <v>111</v>
      </c>
      <c r="L2" s="13" t="s">
        <v>13</v>
      </c>
      <c r="M2" s="13" t="s">
        <v>113</v>
      </c>
      <c r="N2" s="13" t="s">
        <v>7</v>
      </c>
      <c r="O2" s="13" t="s">
        <v>3</v>
      </c>
      <c r="P2" s="13" t="s">
        <v>8</v>
      </c>
      <c r="Q2" s="13" t="s">
        <v>9</v>
      </c>
      <c r="R2" s="13" t="s">
        <v>114</v>
      </c>
      <c r="S2" s="13" t="s">
        <v>115</v>
      </c>
      <c r="T2" s="13" t="s">
        <v>121</v>
      </c>
      <c r="U2" s="13" t="s">
        <v>116</v>
      </c>
      <c r="V2" s="13" t="s">
        <v>117</v>
      </c>
      <c r="W2" s="13" t="s">
        <v>118</v>
      </c>
      <c r="X2" s="13" t="s">
        <v>119</v>
      </c>
      <c r="Y2" s="13" t="s">
        <v>120</v>
      </c>
      <c r="Z2" s="13" t="s">
        <v>150</v>
      </c>
      <c r="AA2" s="13" t="s">
        <v>151</v>
      </c>
      <c r="AB2" s="13" t="s">
        <v>152</v>
      </c>
      <c r="AC2" s="13" t="s">
        <v>153</v>
      </c>
      <c r="AD2" s="6" t="s">
        <v>568</v>
      </c>
      <c r="AE2" s="6" t="s">
        <v>569</v>
      </c>
      <c r="AF2" s="6" t="s">
        <v>570</v>
      </c>
    </row>
    <row r="3" spans="1:33" x14ac:dyDescent="0.15">
      <c r="A3" s="13">
        <v>300</v>
      </c>
      <c r="B3" s="13">
        <v>0.1</v>
      </c>
      <c r="C3" s="13">
        <v>0.1</v>
      </c>
      <c r="D3" s="13">
        <v>0.98</v>
      </c>
      <c r="E3" s="13">
        <v>1.3</v>
      </c>
      <c r="F3" s="13">
        <v>1.3</v>
      </c>
      <c r="G3" s="13">
        <v>1.3</v>
      </c>
      <c r="H3" s="13">
        <v>1.3</v>
      </c>
      <c r="I3" s="13">
        <v>2</v>
      </c>
      <c r="J3" s="13">
        <v>1.2999999999999999E-2</v>
      </c>
      <c r="K3" s="13">
        <v>1.71</v>
      </c>
      <c r="L3" s="13">
        <v>70</v>
      </c>
      <c r="M3" s="13">
        <v>190</v>
      </c>
      <c r="N3" s="13">
        <v>5</v>
      </c>
      <c r="O3" s="13">
        <v>10</v>
      </c>
      <c r="P3" s="13">
        <v>300</v>
      </c>
      <c r="Q3" s="13">
        <v>-450</v>
      </c>
      <c r="R3" s="13">
        <v>4</v>
      </c>
      <c r="S3" s="13">
        <v>5.0999999999999996</v>
      </c>
      <c r="T3" s="13">
        <v>7.4</v>
      </c>
      <c r="U3" s="13">
        <v>1</v>
      </c>
      <c r="V3" s="13">
        <v>0.04</v>
      </c>
      <c r="W3" s="13">
        <v>1E-3</v>
      </c>
      <c r="X3" s="13">
        <v>-1.5</v>
      </c>
      <c r="Y3" s="13">
        <v>1.5E-3</v>
      </c>
      <c r="Z3" s="13">
        <v>200</v>
      </c>
      <c r="AA3" s="13">
        <v>200</v>
      </c>
      <c r="AB3" s="13">
        <v>200</v>
      </c>
      <c r="AC3" s="13">
        <v>200</v>
      </c>
      <c r="AD3" s="6">
        <v>100000</v>
      </c>
      <c r="AE3" s="6">
        <v>1.2</v>
      </c>
      <c r="AF3" s="6">
        <v>4</v>
      </c>
      <c r="AG3" s="13" t="s">
        <v>32</v>
      </c>
    </row>
    <row r="4" spans="1:33" x14ac:dyDescent="0.15">
      <c r="A4" s="13">
        <v>330</v>
      </c>
      <c r="B4" s="13">
        <v>0.16</v>
      </c>
      <c r="C4" s="13">
        <v>0.16</v>
      </c>
      <c r="D4" s="13">
        <v>0.98</v>
      </c>
      <c r="E4" s="13">
        <v>0.3</v>
      </c>
      <c r="F4" s="13">
        <v>0.8</v>
      </c>
      <c r="G4" s="13">
        <v>0.8</v>
      </c>
      <c r="H4" s="13">
        <v>0.8</v>
      </c>
      <c r="I4" s="13">
        <v>2</v>
      </c>
      <c r="J4" s="13">
        <v>1.2999999999999999E-2</v>
      </c>
      <c r="K4" s="13">
        <v>1.71</v>
      </c>
      <c r="L4" s="13">
        <v>70</v>
      </c>
      <c r="M4" s="13">
        <v>190</v>
      </c>
      <c r="N4" s="13">
        <v>5</v>
      </c>
      <c r="O4" s="13">
        <v>10</v>
      </c>
      <c r="P4" s="13">
        <v>300</v>
      </c>
      <c r="Q4" s="13">
        <v>-450</v>
      </c>
      <c r="R4" s="13">
        <v>1</v>
      </c>
      <c r="S4" s="13">
        <v>5.5</v>
      </c>
      <c r="T4" s="13">
        <v>11.7</v>
      </c>
      <c r="U4" s="13">
        <v>1</v>
      </c>
      <c r="V4" s="13">
        <v>0.04</v>
      </c>
      <c r="W4" s="13">
        <v>1E-3</v>
      </c>
      <c r="X4" s="13">
        <v>-1.5</v>
      </c>
      <c r="Y4" s="13">
        <v>1.5E-3</v>
      </c>
      <c r="Z4" s="13">
        <v>200</v>
      </c>
      <c r="AA4" s="13">
        <v>200</v>
      </c>
      <c r="AB4" s="13">
        <v>200</v>
      </c>
      <c r="AC4" s="13">
        <v>200</v>
      </c>
      <c r="AD4" s="6">
        <v>100000</v>
      </c>
      <c r="AE4" s="6">
        <v>1.2</v>
      </c>
      <c r="AF4" s="6">
        <v>4</v>
      </c>
      <c r="AG4" s="13" t="s">
        <v>32</v>
      </c>
    </row>
    <row r="5" spans="1:33" x14ac:dyDescent="0.15">
      <c r="A5" s="13">
        <v>360</v>
      </c>
      <c r="B5" s="13">
        <v>0.19</v>
      </c>
      <c r="C5" s="13">
        <v>0.19</v>
      </c>
      <c r="D5" s="13">
        <v>0.93</v>
      </c>
      <c r="E5" s="13">
        <v>1.9</v>
      </c>
      <c r="F5" s="13">
        <v>1.9</v>
      </c>
      <c r="G5" s="13">
        <v>1.9</v>
      </c>
      <c r="H5" s="13">
        <v>1.9</v>
      </c>
      <c r="I5" s="13">
        <v>3</v>
      </c>
      <c r="J5" s="13">
        <v>10</v>
      </c>
      <c r="K5" s="13">
        <v>3</v>
      </c>
      <c r="L5" s="13">
        <v>70</v>
      </c>
      <c r="M5" s="13">
        <v>190</v>
      </c>
      <c r="N5" s="13">
        <v>5</v>
      </c>
      <c r="O5" s="13">
        <v>10</v>
      </c>
      <c r="P5" s="13">
        <v>300</v>
      </c>
      <c r="Q5" s="13">
        <v>-450</v>
      </c>
      <c r="R5" s="13">
        <v>1.6</v>
      </c>
      <c r="S5" s="13">
        <v>5.9</v>
      </c>
      <c r="T5" s="13">
        <v>40</v>
      </c>
      <c r="U5" s="13">
        <v>1</v>
      </c>
      <c r="V5" s="13">
        <v>0.04</v>
      </c>
      <c r="W5" s="13">
        <v>1E-3</v>
      </c>
      <c r="X5" s="13">
        <v>-1.5</v>
      </c>
      <c r="Y5" s="13">
        <v>1.5E-3</v>
      </c>
      <c r="Z5" s="13">
        <v>200</v>
      </c>
      <c r="AA5" s="13">
        <v>200</v>
      </c>
      <c r="AB5" s="13">
        <v>200</v>
      </c>
      <c r="AC5" s="13">
        <v>200</v>
      </c>
      <c r="AD5" s="6">
        <v>100000</v>
      </c>
      <c r="AE5" s="6">
        <v>1.2</v>
      </c>
      <c r="AF5" s="6">
        <v>4</v>
      </c>
      <c r="AG5" s="13" t="s">
        <v>32</v>
      </c>
    </row>
    <row r="6" spans="1:33" x14ac:dyDescent="0.15">
      <c r="A6" s="13">
        <v>361</v>
      </c>
      <c r="B6" s="13">
        <v>0.19</v>
      </c>
      <c r="C6" s="13">
        <v>0.19</v>
      </c>
      <c r="D6" s="13">
        <v>0.93</v>
      </c>
      <c r="E6" s="13">
        <v>1.9</v>
      </c>
      <c r="F6" s="13">
        <v>1.9</v>
      </c>
      <c r="G6" s="13">
        <v>1.9</v>
      </c>
      <c r="H6" s="13">
        <v>1.9</v>
      </c>
      <c r="I6" s="13">
        <v>2</v>
      </c>
      <c r="J6" s="13">
        <v>0.13</v>
      </c>
      <c r="K6" s="13">
        <v>1.71</v>
      </c>
      <c r="L6" s="13">
        <v>70</v>
      </c>
      <c r="M6" s="13">
        <v>190</v>
      </c>
      <c r="N6" s="13">
        <v>5</v>
      </c>
      <c r="O6" s="13">
        <v>10</v>
      </c>
      <c r="P6" s="13">
        <v>300</v>
      </c>
      <c r="Q6" s="13">
        <v>-450</v>
      </c>
      <c r="R6" s="13">
        <v>1.6</v>
      </c>
      <c r="S6" s="13">
        <v>5.9</v>
      </c>
      <c r="T6" s="13">
        <v>33.1</v>
      </c>
      <c r="U6" s="13">
        <v>1</v>
      </c>
      <c r="V6" s="13">
        <v>0.04</v>
      </c>
      <c r="W6" s="13">
        <v>1E-3</v>
      </c>
      <c r="X6" s="13">
        <v>-1.5</v>
      </c>
      <c r="Y6" s="13">
        <v>1.5E-3</v>
      </c>
      <c r="Z6" s="13">
        <v>200</v>
      </c>
      <c r="AA6" s="13">
        <v>200</v>
      </c>
      <c r="AB6" s="13">
        <v>200</v>
      </c>
      <c r="AC6" s="13">
        <v>200</v>
      </c>
      <c r="AD6" s="6">
        <v>100000</v>
      </c>
      <c r="AE6" s="6">
        <v>1.2</v>
      </c>
      <c r="AF6" s="6">
        <v>4</v>
      </c>
      <c r="AG6" s="13" t="s">
        <v>32</v>
      </c>
    </row>
    <row r="7" spans="1:33" s="75" customFormat="1" x14ac:dyDescent="0.15">
      <c r="A7" s="75">
        <v>551</v>
      </c>
      <c r="B7" s="75">
        <v>0.1</v>
      </c>
      <c r="C7" s="75">
        <v>0.1</v>
      </c>
      <c r="D7" s="75">
        <v>0.98</v>
      </c>
      <c r="E7" s="75">
        <v>1.3</v>
      </c>
      <c r="F7" s="75">
        <v>1.3</v>
      </c>
      <c r="G7" s="75">
        <v>1.8</v>
      </c>
      <c r="H7" s="75">
        <v>1.3</v>
      </c>
      <c r="I7" s="75">
        <v>2</v>
      </c>
      <c r="J7" s="75">
        <v>1.2999999999999999E-2</v>
      </c>
      <c r="K7" s="75">
        <v>1.71</v>
      </c>
      <c r="L7" s="75">
        <v>553</v>
      </c>
      <c r="M7" s="75">
        <v>-999</v>
      </c>
      <c r="N7" s="75">
        <v>6</v>
      </c>
      <c r="O7" s="75">
        <v>11</v>
      </c>
      <c r="P7" s="75">
        <v>300</v>
      </c>
      <c r="Q7" s="75">
        <v>-450</v>
      </c>
      <c r="R7" s="75">
        <v>4</v>
      </c>
      <c r="S7" s="75">
        <v>5.0999999999999996</v>
      </c>
      <c r="T7" s="75">
        <v>7.4</v>
      </c>
      <c r="U7" s="75">
        <v>1</v>
      </c>
      <c r="V7" s="75">
        <v>0.04</v>
      </c>
      <c r="W7" s="75">
        <v>1E-3</v>
      </c>
      <c r="X7" s="75">
        <v>-1.5</v>
      </c>
      <c r="Y7" s="75">
        <v>1.5E-3</v>
      </c>
      <c r="Z7" s="75">
        <v>200</v>
      </c>
      <c r="AA7" s="75">
        <v>200</v>
      </c>
      <c r="AB7" s="75">
        <v>200</v>
      </c>
      <c r="AC7" s="75">
        <v>200</v>
      </c>
      <c r="AD7" s="6">
        <v>100000</v>
      </c>
      <c r="AE7" s="6">
        <v>1.2</v>
      </c>
      <c r="AF7" s="6">
        <v>4</v>
      </c>
      <c r="AG7" s="75" t="s">
        <v>360</v>
      </c>
    </row>
    <row r="8" spans="1:33" s="75" customFormat="1" x14ac:dyDescent="0.15">
      <c r="A8" s="75">
        <v>552</v>
      </c>
      <c r="B8" s="75">
        <v>0.12</v>
      </c>
      <c r="C8" s="75">
        <v>0.18</v>
      </c>
      <c r="D8" s="75">
        <v>0.98</v>
      </c>
      <c r="E8" s="75">
        <v>0.3</v>
      </c>
      <c r="F8" s="75">
        <v>0.8</v>
      </c>
      <c r="G8" s="75">
        <v>1</v>
      </c>
      <c r="H8" s="75">
        <v>0.8</v>
      </c>
      <c r="I8" s="75">
        <v>2</v>
      </c>
      <c r="J8" s="75">
        <v>1.2999999999999999E-2</v>
      </c>
      <c r="K8" s="75">
        <v>1.71</v>
      </c>
      <c r="L8" s="75">
        <v>553</v>
      </c>
      <c r="M8" s="75">
        <v>-999</v>
      </c>
      <c r="N8" s="75">
        <v>6</v>
      </c>
      <c r="O8" s="75">
        <v>11</v>
      </c>
      <c r="P8" s="75">
        <v>300</v>
      </c>
      <c r="Q8" s="75">
        <v>-450</v>
      </c>
      <c r="R8" s="75">
        <v>1</v>
      </c>
      <c r="S8" s="75">
        <v>5.5</v>
      </c>
      <c r="T8" s="76">
        <v>11.7</v>
      </c>
      <c r="U8" s="75">
        <v>1</v>
      </c>
      <c r="V8" s="75">
        <v>0.04</v>
      </c>
      <c r="W8" s="75">
        <v>1E-3</v>
      </c>
      <c r="X8" s="75">
        <v>-1.5</v>
      </c>
      <c r="Y8" s="75">
        <v>1.5E-3</v>
      </c>
      <c r="Z8" s="75">
        <v>200</v>
      </c>
      <c r="AA8" s="75">
        <v>200</v>
      </c>
      <c r="AB8" s="75">
        <v>200</v>
      </c>
      <c r="AC8" s="75">
        <v>200</v>
      </c>
      <c r="AD8" s="6">
        <v>100000</v>
      </c>
      <c r="AE8" s="6">
        <v>1.2</v>
      </c>
      <c r="AF8" s="6">
        <v>4</v>
      </c>
      <c r="AG8" s="75" t="s">
        <v>360</v>
      </c>
    </row>
    <row r="9" spans="1:33" s="75" customFormat="1" x14ac:dyDescent="0.15">
      <c r="A9" s="75">
        <v>553</v>
      </c>
      <c r="B9" s="75">
        <v>0.18</v>
      </c>
      <c r="C9" s="75">
        <v>0.21</v>
      </c>
      <c r="D9" s="75">
        <v>0.93</v>
      </c>
      <c r="E9" s="75">
        <v>1.9</v>
      </c>
      <c r="F9" s="75">
        <v>1.9</v>
      </c>
      <c r="G9" s="75">
        <v>2</v>
      </c>
      <c r="H9" s="75">
        <v>1.9</v>
      </c>
      <c r="I9" s="75">
        <v>2</v>
      </c>
      <c r="J9" s="75">
        <v>1.2999999999999999E-2</v>
      </c>
      <c r="K9" s="75">
        <v>1.71</v>
      </c>
      <c r="L9" s="75">
        <v>553</v>
      </c>
      <c r="M9" s="75">
        <v>-999</v>
      </c>
      <c r="N9" s="75">
        <v>6</v>
      </c>
      <c r="O9" s="75">
        <v>11</v>
      </c>
      <c r="P9" s="75">
        <v>300</v>
      </c>
      <c r="Q9" s="75">
        <v>-450</v>
      </c>
      <c r="R9" s="75">
        <v>1.6</v>
      </c>
      <c r="S9" s="75">
        <v>5.9</v>
      </c>
      <c r="T9" s="75">
        <v>33.1</v>
      </c>
      <c r="U9" s="75">
        <v>1</v>
      </c>
      <c r="V9" s="75">
        <v>0.04</v>
      </c>
      <c r="W9" s="75">
        <v>1E-3</v>
      </c>
      <c r="X9" s="75">
        <v>-1.5</v>
      </c>
      <c r="Y9" s="75">
        <v>1.5E-3</v>
      </c>
      <c r="Z9" s="75">
        <v>200</v>
      </c>
      <c r="AA9" s="75">
        <v>200</v>
      </c>
      <c r="AB9" s="75">
        <v>200</v>
      </c>
      <c r="AC9" s="75">
        <v>200</v>
      </c>
      <c r="AD9" s="6">
        <v>100000</v>
      </c>
      <c r="AE9" s="6">
        <v>1.2</v>
      </c>
      <c r="AF9" s="6">
        <v>4</v>
      </c>
      <c r="AG9" s="75" t="s">
        <v>360</v>
      </c>
    </row>
    <row r="10" spans="1:33" s="10" customFormat="1" x14ac:dyDescent="0.15">
      <c r="A10" s="10">
        <v>661</v>
      </c>
      <c r="B10" s="10">
        <v>0.1</v>
      </c>
      <c r="C10" s="10">
        <v>0.1</v>
      </c>
      <c r="D10" s="10">
        <v>0.98</v>
      </c>
      <c r="E10" s="10">
        <v>1.3</v>
      </c>
      <c r="F10" s="10">
        <v>1.3</v>
      </c>
      <c r="G10" s="10">
        <v>1.8</v>
      </c>
      <c r="H10" s="10">
        <v>1.3</v>
      </c>
      <c r="I10" s="10">
        <v>2</v>
      </c>
      <c r="J10" s="10">
        <v>1.2999999999999999E-2</v>
      </c>
      <c r="K10" s="10">
        <v>1.71</v>
      </c>
      <c r="L10" s="10">
        <v>661</v>
      </c>
      <c r="M10" s="10">
        <v>-999</v>
      </c>
      <c r="N10" s="10">
        <v>6</v>
      </c>
      <c r="O10" s="10">
        <v>11</v>
      </c>
      <c r="P10" s="10">
        <v>300</v>
      </c>
      <c r="Q10" s="10">
        <v>-450</v>
      </c>
      <c r="R10" s="10">
        <v>4</v>
      </c>
      <c r="S10" s="10">
        <v>5.0999999999999996</v>
      </c>
      <c r="T10" s="10">
        <v>7.4</v>
      </c>
      <c r="U10" s="10">
        <v>1</v>
      </c>
      <c r="V10" s="10">
        <v>0.04</v>
      </c>
      <c r="W10" s="10">
        <v>1E-3</v>
      </c>
      <c r="X10" s="10">
        <v>-1.5</v>
      </c>
      <c r="Y10" s="10">
        <v>1.5E-3</v>
      </c>
      <c r="Z10" s="10">
        <v>200</v>
      </c>
      <c r="AA10" s="10">
        <v>200</v>
      </c>
      <c r="AB10" s="10">
        <v>200</v>
      </c>
      <c r="AC10" s="10">
        <v>200</v>
      </c>
      <c r="AD10" s="6">
        <v>100000</v>
      </c>
      <c r="AE10" s="6">
        <v>1.2</v>
      </c>
      <c r="AF10" s="6">
        <v>4</v>
      </c>
    </row>
    <row r="11" spans="1:33" s="10" customFormat="1" x14ac:dyDescent="0.15">
      <c r="A11" s="10">
        <v>662</v>
      </c>
      <c r="B11" s="10">
        <v>0.12</v>
      </c>
      <c r="C11" s="10">
        <v>0.18</v>
      </c>
      <c r="D11" s="10">
        <v>0.98</v>
      </c>
      <c r="E11" s="10">
        <v>0.3</v>
      </c>
      <c r="F11" s="10">
        <v>0.8</v>
      </c>
      <c r="G11" s="10">
        <v>1</v>
      </c>
      <c r="H11" s="10">
        <v>0.8</v>
      </c>
      <c r="I11" s="10">
        <v>2</v>
      </c>
      <c r="J11" s="10">
        <v>1.2999999999999999E-2</v>
      </c>
      <c r="K11" s="10">
        <v>1.71</v>
      </c>
      <c r="L11" s="10">
        <v>661</v>
      </c>
      <c r="M11" s="10">
        <v>-999</v>
      </c>
      <c r="N11" s="10">
        <v>6</v>
      </c>
      <c r="O11" s="10">
        <v>11</v>
      </c>
      <c r="P11" s="10">
        <v>300</v>
      </c>
      <c r="Q11" s="10">
        <v>-450</v>
      </c>
      <c r="R11" s="10">
        <v>1</v>
      </c>
      <c r="S11" s="10">
        <v>5.5</v>
      </c>
      <c r="T11" s="14">
        <v>11.7</v>
      </c>
      <c r="U11" s="10">
        <v>1</v>
      </c>
      <c r="V11" s="10">
        <v>0.04</v>
      </c>
      <c r="W11" s="10">
        <v>1E-3</v>
      </c>
      <c r="X11" s="10">
        <v>-1.5</v>
      </c>
      <c r="Y11" s="10">
        <v>1.5E-3</v>
      </c>
      <c r="Z11" s="10">
        <v>200</v>
      </c>
      <c r="AA11" s="10">
        <v>200</v>
      </c>
      <c r="AB11" s="10">
        <v>200</v>
      </c>
      <c r="AC11" s="10">
        <v>200</v>
      </c>
      <c r="AD11" s="6">
        <v>100000</v>
      </c>
      <c r="AE11" s="6">
        <v>1.2</v>
      </c>
      <c r="AF11" s="6">
        <v>4</v>
      </c>
    </row>
    <row r="12" spans="1:33" s="10" customFormat="1" x14ac:dyDescent="0.15">
      <c r="A12" s="10">
        <v>663</v>
      </c>
      <c r="B12" s="10">
        <v>0.18</v>
      </c>
      <c r="C12" s="10">
        <v>0.21</v>
      </c>
      <c r="D12" s="10">
        <v>0.93</v>
      </c>
      <c r="E12" s="10">
        <v>1.9</v>
      </c>
      <c r="F12" s="10">
        <v>1.9</v>
      </c>
      <c r="G12" s="10">
        <v>2</v>
      </c>
      <c r="H12" s="10">
        <v>1.9</v>
      </c>
      <c r="I12" s="10">
        <v>2</v>
      </c>
      <c r="J12" s="10">
        <v>1.2999999999999999E-2</v>
      </c>
      <c r="K12" s="10">
        <v>1.71</v>
      </c>
      <c r="L12" s="10">
        <v>661</v>
      </c>
      <c r="M12" s="10">
        <v>-999</v>
      </c>
      <c r="N12" s="10">
        <v>6</v>
      </c>
      <c r="O12" s="10">
        <v>11</v>
      </c>
      <c r="P12" s="10">
        <v>300</v>
      </c>
      <c r="Q12" s="10">
        <v>-450</v>
      </c>
      <c r="R12" s="10">
        <v>1.6</v>
      </c>
      <c r="S12" s="10">
        <v>5.9</v>
      </c>
      <c r="T12" s="10">
        <v>33.1</v>
      </c>
      <c r="U12" s="10">
        <v>1</v>
      </c>
      <c r="V12" s="10">
        <v>0.04</v>
      </c>
      <c r="W12" s="10">
        <v>1E-3</v>
      </c>
      <c r="X12" s="10">
        <v>-1.5</v>
      </c>
      <c r="Y12" s="10">
        <v>1.5E-3</v>
      </c>
      <c r="Z12" s="10">
        <v>200</v>
      </c>
      <c r="AA12" s="10">
        <v>200</v>
      </c>
      <c r="AB12" s="10">
        <v>200</v>
      </c>
      <c r="AC12" s="10">
        <v>200</v>
      </c>
      <c r="AD12" s="6">
        <v>100000</v>
      </c>
      <c r="AE12" s="6">
        <v>1.2</v>
      </c>
      <c r="AF12" s="6">
        <v>4</v>
      </c>
    </row>
    <row r="13" spans="1:33" s="69" customFormat="1" x14ac:dyDescent="0.15">
      <c r="A13" s="69">
        <v>33661</v>
      </c>
      <c r="B13" s="69">
        <v>0.1</v>
      </c>
      <c r="C13" s="69">
        <v>0.1</v>
      </c>
      <c r="D13" s="69">
        <v>0.98</v>
      </c>
      <c r="E13" s="69">
        <v>1.3</v>
      </c>
      <c r="F13" s="69">
        <v>1.3</v>
      </c>
      <c r="G13" s="69">
        <v>1.8</v>
      </c>
      <c r="H13" s="69">
        <v>1.3</v>
      </c>
      <c r="I13" s="69">
        <v>2</v>
      </c>
      <c r="J13" s="69">
        <v>1.2999999999999999E-2</v>
      </c>
      <c r="K13" s="69">
        <v>1.71</v>
      </c>
      <c r="L13" s="69">
        <v>33661</v>
      </c>
      <c r="M13" s="69">
        <v>-999</v>
      </c>
      <c r="N13" s="69">
        <v>6</v>
      </c>
      <c r="O13" s="69">
        <v>11</v>
      </c>
      <c r="P13" s="69">
        <v>300</v>
      </c>
      <c r="Q13" s="69">
        <v>-450</v>
      </c>
      <c r="R13" s="69">
        <v>4</v>
      </c>
      <c r="S13" s="69">
        <v>5.0999999999999996</v>
      </c>
      <c r="T13" s="69">
        <v>7.4</v>
      </c>
      <c r="U13" s="69">
        <v>1</v>
      </c>
      <c r="V13" s="69">
        <v>0.04</v>
      </c>
      <c r="W13" s="69">
        <v>1E-3</v>
      </c>
      <c r="X13" s="69">
        <v>-1.5</v>
      </c>
      <c r="Y13" s="69">
        <v>1.5E-3</v>
      </c>
      <c r="Z13" s="69">
        <v>200</v>
      </c>
      <c r="AA13" s="69">
        <v>200</v>
      </c>
      <c r="AB13" s="69">
        <v>200</v>
      </c>
      <c r="AC13" s="69">
        <v>200</v>
      </c>
      <c r="AD13" s="6">
        <v>100000</v>
      </c>
      <c r="AE13" s="6">
        <v>1.2</v>
      </c>
      <c r="AF13" s="6">
        <v>4</v>
      </c>
    </row>
    <row r="14" spans="1:33" s="69" customFormat="1" x14ac:dyDescent="0.15">
      <c r="A14" s="69">
        <v>33662</v>
      </c>
      <c r="B14" s="69">
        <v>0.12</v>
      </c>
      <c r="C14" s="69">
        <v>0.18</v>
      </c>
      <c r="D14" s="69">
        <v>0.98</v>
      </c>
      <c r="E14" s="69">
        <v>0.3</v>
      </c>
      <c r="F14" s="69">
        <v>0.8</v>
      </c>
      <c r="G14" s="69">
        <v>1</v>
      </c>
      <c r="H14" s="69">
        <v>0.8</v>
      </c>
      <c r="I14" s="69">
        <v>2</v>
      </c>
      <c r="J14" s="69">
        <v>1.2999999999999999E-2</v>
      </c>
      <c r="K14" s="69">
        <v>1.71</v>
      </c>
      <c r="L14" s="69">
        <v>33661</v>
      </c>
      <c r="M14" s="69">
        <v>-999</v>
      </c>
      <c r="N14" s="69">
        <v>6</v>
      </c>
      <c r="O14" s="69">
        <v>11</v>
      </c>
      <c r="P14" s="69">
        <v>300</v>
      </c>
      <c r="Q14" s="69">
        <v>-450</v>
      </c>
      <c r="R14" s="69">
        <v>1</v>
      </c>
      <c r="S14" s="69">
        <v>5.5</v>
      </c>
      <c r="T14" s="70">
        <v>11.7</v>
      </c>
      <c r="U14" s="69">
        <v>1</v>
      </c>
      <c r="V14" s="69">
        <v>0.04</v>
      </c>
      <c r="W14" s="69">
        <v>1E-3</v>
      </c>
      <c r="X14" s="69">
        <v>-1.5</v>
      </c>
      <c r="Y14" s="69">
        <v>1.5E-3</v>
      </c>
      <c r="Z14" s="69">
        <v>200</v>
      </c>
      <c r="AA14" s="69">
        <v>200</v>
      </c>
      <c r="AB14" s="69">
        <v>200</v>
      </c>
      <c r="AC14" s="69">
        <v>200</v>
      </c>
      <c r="AD14" s="6">
        <v>100000</v>
      </c>
      <c r="AE14" s="6">
        <v>1.2</v>
      </c>
      <c r="AF14" s="6">
        <v>4</v>
      </c>
    </row>
    <row r="15" spans="1:33" s="69" customFormat="1" x14ac:dyDescent="0.15">
      <c r="A15" s="69">
        <v>33663</v>
      </c>
      <c r="B15" s="69">
        <v>0.18</v>
      </c>
      <c r="C15" s="69">
        <v>0.21</v>
      </c>
      <c r="D15" s="69">
        <v>0.93</v>
      </c>
      <c r="E15" s="69">
        <v>1.9</v>
      </c>
      <c r="F15" s="69">
        <v>1.9</v>
      </c>
      <c r="G15" s="69">
        <v>2</v>
      </c>
      <c r="H15" s="69">
        <v>1.9</v>
      </c>
      <c r="I15" s="69">
        <v>2</v>
      </c>
      <c r="J15" s="69">
        <v>1.2999999999999999E-2</v>
      </c>
      <c r="K15" s="69">
        <v>1.71</v>
      </c>
      <c r="L15" s="69">
        <v>33661</v>
      </c>
      <c r="M15" s="69">
        <v>-999</v>
      </c>
      <c r="N15" s="69">
        <v>6</v>
      </c>
      <c r="O15" s="69">
        <v>11</v>
      </c>
      <c r="P15" s="69">
        <v>300</v>
      </c>
      <c r="Q15" s="69">
        <v>-450</v>
      </c>
      <c r="R15" s="69">
        <v>1.6</v>
      </c>
      <c r="S15" s="69">
        <v>5.9</v>
      </c>
      <c r="T15" s="69">
        <v>33.1</v>
      </c>
      <c r="U15" s="69">
        <v>1</v>
      </c>
      <c r="V15" s="69">
        <v>0.04</v>
      </c>
      <c r="W15" s="69">
        <v>1E-3</v>
      </c>
      <c r="X15" s="69">
        <v>-1.5</v>
      </c>
      <c r="Y15" s="69">
        <v>1.5E-3</v>
      </c>
      <c r="Z15" s="69">
        <v>200</v>
      </c>
      <c r="AA15" s="69">
        <v>200</v>
      </c>
      <c r="AB15" s="69">
        <v>200</v>
      </c>
      <c r="AC15" s="69">
        <v>200</v>
      </c>
      <c r="AD15" s="6">
        <v>100000</v>
      </c>
      <c r="AE15" s="6">
        <v>1.2</v>
      </c>
      <c r="AF15" s="6">
        <v>4</v>
      </c>
    </row>
    <row r="16" spans="1:33" x14ac:dyDescent="0.15">
      <c r="A16" s="13">
        <v>-9</v>
      </c>
    </row>
    <row r="17" spans="1:10" x14ac:dyDescent="0.15">
      <c r="A17" s="13">
        <v>-9</v>
      </c>
    </row>
    <row r="19" spans="1:10" x14ac:dyDescent="0.15">
      <c r="A19" s="13" t="s">
        <v>12</v>
      </c>
      <c r="E19" s="19" t="s">
        <v>502</v>
      </c>
    </row>
    <row r="20" spans="1:10" x14ac:dyDescent="0.15">
      <c r="A20" s="13" t="s">
        <v>12</v>
      </c>
      <c r="C20" s="13">
        <v>1</v>
      </c>
      <c r="D20" s="13" t="s">
        <v>1</v>
      </c>
      <c r="E20" s="13" t="s">
        <v>465</v>
      </c>
    </row>
    <row r="21" spans="1:10" x14ac:dyDescent="0.15">
      <c r="A21" s="13" t="s">
        <v>12</v>
      </c>
      <c r="C21" s="13">
        <v>2</v>
      </c>
      <c r="D21" s="13" t="s">
        <v>124</v>
      </c>
      <c r="E21" s="13" t="s">
        <v>525</v>
      </c>
    </row>
    <row r="22" spans="1:10" x14ac:dyDescent="0.15">
      <c r="A22" s="13" t="s">
        <v>12</v>
      </c>
      <c r="C22" s="13">
        <v>3</v>
      </c>
      <c r="D22" s="13" t="s">
        <v>125</v>
      </c>
      <c r="E22" s="13" t="s">
        <v>524</v>
      </c>
    </row>
    <row r="23" spans="1:10" x14ac:dyDescent="0.15">
      <c r="A23" s="13" t="s">
        <v>12</v>
      </c>
      <c r="C23" s="13">
        <v>4</v>
      </c>
      <c r="D23" s="13" t="s">
        <v>6</v>
      </c>
      <c r="E23" s="13" t="s">
        <v>242</v>
      </c>
    </row>
    <row r="24" spans="1:10" x14ac:dyDescent="0.15">
      <c r="A24" s="13" t="s">
        <v>12</v>
      </c>
      <c r="C24" s="13">
        <v>5</v>
      </c>
      <c r="D24" s="13" t="s">
        <v>107</v>
      </c>
      <c r="E24" s="13" t="s">
        <v>243</v>
      </c>
      <c r="F24" s="16"/>
      <c r="G24" s="16"/>
      <c r="H24" s="16"/>
      <c r="J24" s="13" t="s">
        <v>207</v>
      </c>
    </row>
    <row r="25" spans="1:10" x14ac:dyDescent="0.15">
      <c r="A25" s="13" t="s">
        <v>12</v>
      </c>
      <c r="C25" s="13">
        <v>6</v>
      </c>
      <c r="D25" s="13" t="s">
        <v>108</v>
      </c>
      <c r="E25" s="13" t="s">
        <v>244</v>
      </c>
      <c r="J25" s="13" t="s">
        <v>207</v>
      </c>
    </row>
    <row r="26" spans="1:10" x14ac:dyDescent="0.15">
      <c r="A26" s="13" t="s">
        <v>12</v>
      </c>
      <c r="C26" s="13">
        <v>7</v>
      </c>
      <c r="D26" s="6" t="s">
        <v>522</v>
      </c>
      <c r="E26" s="6" t="s">
        <v>521</v>
      </c>
      <c r="F26" s="6"/>
      <c r="G26" s="6"/>
      <c r="H26" s="6"/>
      <c r="I26" s="6"/>
      <c r="J26" s="6" t="s">
        <v>207</v>
      </c>
    </row>
    <row r="27" spans="1:10" x14ac:dyDescent="0.15">
      <c r="A27" s="13" t="s">
        <v>12</v>
      </c>
      <c r="C27" s="13">
        <v>8</v>
      </c>
      <c r="D27" s="13" t="s">
        <v>499</v>
      </c>
      <c r="E27" s="6" t="s">
        <v>500</v>
      </c>
      <c r="F27" s="6"/>
      <c r="G27" s="6"/>
      <c r="H27" s="6"/>
      <c r="I27" s="6"/>
      <c r="J27" s="6" t="s">
        <v>207</v>
      </c>
    </row>
    <row r="28" spans="1:10" x14ac:dyDescent="0.15">
      <c r="A28" s="13" t="s">
        <v>12</v>
      </c>
      <c r="C28" s="13">
        <v>9</v>
      </c>
      <c r="D28" s="13" t="s">
        <v>109</v>
      </c>
      <c r="E28" s="13" t="s">
        <v>245</v>
      </c>
    </row>
    <row r="29" spans="1:10" x14ac:dyDescent="0.15">
      <c r="A29" s="13" t="s">
        <v>12</v>
      </c>
      <c r="C29" s="13">
        <v>10</v>
      </c>
      <c r="D29" s="13" t="s">
        <v>110</v>
      </c>
      <c r="E29" s="13" t="s">
        <v>246</v>
      </c>
    </row>
    <row r="30" spans="1:10" x14ac:dyDescent="0.15">
      <c r="A30" s="13" t="s">
        <v>12</v>
      </c>
      <c r="C30" s="13">
        <v>11</v>
      </c>
      <c r="D30" s="13" t="s">
        <v>111</v>
      </c>
      <c r="E30" s="13" t="s">
        <v>246</v>
      </c>
    </row>
    <row r="31" spans="1:10" x14ac:dyDescent="0.15">
      <c r="A31" s="13" t="s">
        <v>12</v>
      </c>
      <c r="C31" s="13">
        <v>12</v>
      </c>
      <c r="D31" s="13" t="s">
        <v>13</v>
      </c>
      <c r="E31" s="13" t="s">
        <v>247</v>
      </c>
    </row>
    <row r="32" spans="1:10" x14ac:dyDescent="0.15">
      <c r="A32" s="13" t="s">
        <v>12</v>
      </c>
      <c r="C32" s="13">
        <v>13</v>
      </c>
      <c r="D32" s="13" t="s">
        <v>113</v>
      </c>
      <c r="E32" s="13" t="s">
        <v>248</v>
      </c>
      <c r="J32" s="13" t="s">
        <v>207</v>
      </c>
    </row>
    <row r="33" spans="1:10" x14ac:dyDescent="0.15">
      <c r="A33" s="13" t="s">
        <v>12</v>
      </c>
      <c r="C33" s="13">
        <v>14</v>
      </c>
      <c r="D33" s="13" t="s">
        <v>7</v>
      </c>
      <c r="E33" s="13" t="s">
        <v>251</v>
      </c>
      <c r="J33" s="13" t="s">
        <v>252</v>
      </c>
    </row>
    <row r="34" spans="1:10" x14ac:dyDescent="0.15">
      <c r="A34" s="13" t="s">
        <v>12</v>
      </c>
      <c r="C34" s="13">
        <v>15</v>
      </c>
      <c r="D34" s="13" t="s">
        <v>3</v>
      </c>
      <c r="E34" s="13" t="s">
        <v>253</v>
      </c>
      <c r="J34" s="13" t="s">
        <v>252</v>
      </c>
    </row>
    <row r="35" spans="1:10" x14ac:dyDescent="0.15">
      <c r="A35" s="13" t="s">
        <v>12</v>
      </c>
      <c r="C35" s="13">
        <v>16</v>
      </c>
      <c r="D35" s="13" t="s">
        <v>8</v>
      </c>
      <c r="E35" s="13" t="s">
        <v>254</v>
      </c>
      <c r="J35" s="13" t="s">
        <v>252</v>
      </c>
    </row>
    <row r="36" spans="1:10" x14ac:dyDescent="0.15">
      <c r="A36" s="13" t="s">
        <v>12</v>
      </c>
      <c r="C36" s="13">
        <v>17</v>
      </c>
      <c r="D36" s="13" t="s">
        <v>9</v>
      </c>
      <c r="E36" s="13" t="s">
        <v>473</v>
      </c>
      <c r="J36" s="13" t="s">
        <v>252</v>
      </c>
    </row>
    <row r="37" spans="1:10" x14ac:dyDescent="0.15">
      <c r="A37" s="13" t="s">
        <v>12</v>
      </c>
      <c r="C37" s="13">
        <v>18</v>
      </c>
      <c r="D37" s="13" t="s">
        <v>114</v>
      </c>
      <c r="E37" s="13" t="s">
        <v>255</v>
      </c>
      <c r="J37" s="13" t="s">
        <v>257</v>
      </c>
    </row>
    <row r="38" spans="1:10" x14ac:dyDescent="0.15">
      <c r="A38" s="13" t="s">
        <v>12</v>
      </c>
      <c r="C38" s="13">
        <v>19</v>
      </c>
      <c r="D38" s="13" t="s">
        <v>115</v>
      </c>
      <c r="E38" s="13" t="s">
        <v>256</v>
      </c>
      <c r="J38" s="13" t="s">
        <v>257</v>
      </c>
    </row>
    <row r="39" spans="1:10" x14ac:dyDescent="0.15">
      <c r="A39" s="13" t="s">
        <v>12</v>
      </c>
      <c r="C39" s="13">
        <v>20</v>
      </c>
      <c r="D39" s="13" t="s">
        <v>258</v>
      </c>
      <c r="E39" s="13" t="s">
        <v>261</v>
      </c>
      <c r="J39" s="13" t="s">
        <v>259</v>
      </c>
    </row>
    <row r="40" spans="1:10" x14ac:dyDescent="0.15">
      <c r="A40" s="13" t="s">
        <v>12</v>
      </c>
      <c r="C40" s="13">
        <v>21</v>
      </c>
      <c r="D40" s="13" t="s">
        <v>116</v>
      </c>
      <c r="E40" s="13" t="s">
        <v>260</v>
      </c>
    </row>
    <row r="41" spans="1:10" x14ac:dyDescent="0.15">
      <c r="A41" s="13" t="s">
        <v>12</v>
      </c>
      <c r="C41" s="13">
        <v>22</v>
      </c>
      <c r="D41" s="13" t="s">
        <v>117</v>
      </c>
    </row>
    <row r="42" spans="1:10" x14ac:dyDescent="0.15">
      <c r="A42" s="13" t="s">
        <v>12</v>
      </c>
      <c r="C42" s="13">
        <v>23</v>
      </c>
      <c r="D42" s="13" t="s">
        <v>118</v>
      </c>
    </row>
    <row r="43" spans="1:10" x14ac:dyDescent="0.15">
      <c r="A43" s="13" t="s">
        <v>12</v>
      </c>
      <c r="C43" s="13">
        <v>24</v>
      </c>
      <c r="D43" s="13" t="s">
        <v>119</v>
      </c>
    </row>
    <row r="44" spans="1:10" x14ac:dyDescent="0.15">
      <c r="A44" s="13" t="s">
        <v>12</v>
      </c>
      <c r="C44" s="13">
        <v>25</v>
      </c>
      <c r="D44" s="13" t="s">
        <v>120</v>
      </c>
    </row>
    <row r="45" spans="1:10" x14ac:dyDescent="0.15">
      <c r="A45" s="13" t="s">
        <v>12</v>
      </c>
      <c r="C45" s="13">
        <v>26</v>
      </c>
      <c r="D45" s="13" t="s">
        <v>150</v>
      </c>
    </row>
    <row r="46" spans="1:10" x14ac:dyDescent="0.15">
      <c r="A46" s="13" t="s">
        <v>12</v>
      </c>
      <c r="C46" s="13">
        <v>27</v>
      </c>
      <c r="D46" s="13" t="s">
        <v>151</v>
      </c>
    </row>
    <row r="47" spans="1:10" x14ac:dyDescent="0.15">
      <c r="A47" s="13" t="s">
        <v>12</v>
      </c>
      <c r="C47" s="13">
        <v>28</v>
      </c>
      <c r="D47" s="13" t="s">
        <v>152</v>
      </c>
    </row>
    <row r="48" spans="1:10" x14ac:dyDescent="0.15">
      <c r="A48" s="13" t="s">
        <v>12</v>
      </c>
      <c r="C48" s="13">
        <v>29</v>
      </c>
      <c r="D48" s="13" t="s">
        <v>153</v>
      </c>
    </row>
    <row r="53" spans="3:3" x14ac:dyDescent="0.15">
      <c r="C53" s="17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T26"/>
  <sheetViews>
    <sheetView workbookViewId="0">
      <selection activeCell="P2" sqref="P2:R6"/>
    </sheetView>
  </sheetViews>
  <sheetFormatPr baseColWidth="10" defaultColWidth="8.83203125" defaultRowHeight="14" x14ac:dyDescent="0.15"/>
  <cols>
    <col min="1" max="11" width="8.83203125" style="6"/>
    <col min="12" max="12" width="8" style="6" customWidth="1"/>
    <col min="13" max="15" width="8.83203125" style="6"/>
    <col min="16" max="16" width="6.5" style="6" bestFit="1" customWidth="1"/>
    <col min="17" max="17" width="4" style="6" bestFit="1" customWidth="1"/>
    <col min="18" max="18" width="3.1640625" style="6" bestFit="1" customWidth="1"/>
    <col min="19" max="16384" width="8.83203125" style="6"/>
  </cols>
  <sheetData>
    <row r="1" spans="1:20" x14ac:dyDescent="0.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</row>
    <row r="2" spans="1:20" x14ac:dyDescent="0.15">
      <c r="A2" s="6" t="s">
        <v>1</v>
      </c>
      <c r="B2" s="6" t="s">
        <v>124</v>
      </c>
      <c r="C2" s="6" t="s">
        <v>125</v>
      </c>
      <c r="D2" s="6" t="s">
        <v>6</v>
      </c>
      <c r="E2" s="6" t="s">
        <v>107</v>
      </c>
      <c r="F2" s="6" t="s">
        <v>108</v>
      </c>
      <c r="G2" s="21" t="s">
        <v>522</v>
      </c>
      <c r="H2" s="6" t="s">
        <v>499</v>
      </c>
      <c r="I2" s="6" t="s">
        <v>109</v>
      </c>
      <c r="J2" s="6" t="s">
        <v>110</v>
      </c>
      <c r="K2" s="6" t="s">
        <v>111</v>
      </c>
      <c r="L2" s="6" t="s">
        <v>150</v>
      </c>
      <c r="M2" s="6" t="s">
        <v>151</v>
      </c>
      <c r="N2" s="6" t="s">
        <v>152</v>
      </c>
      <c r="O2" s="6" t="s">
        <v>153</v>
      </c>
      <c r="P2" s="6" t="s">
        <v>568</v>
      </c>
      <c r="Q2" s="6" t="s">
        <v>569</v>
      </c>
      <c r="R2" s="6" t="s">
        <v>570</v>
      </c>
    </row>
    <row r="3" spans="1:20" x14ac:dyDescent="0.15">
      <c r="A3" s="6">
        <v>1000</v>
      </c>
      <c r="B3" s="6">
        <v>0.08</v>
      </c>
      <c r="C3" s="6">
        <v>0.08</v>
      </c>
      <c r="D3" s="6">
        <v>0.95</v>
      </c>
      <c r="E3" s="6">
        <v>0.5</v>
      </c>
      <c r="F3" s="6">
        <v>0.5</v>
      </c>
      <c r="G3" s="6">
        <v>0.5</v>
      </c>
      <c r="H3" s="6">
        <v>2000</v>
      </c>
      <c r="I3" s="6">
        <v>0</v>
      </c>
      <c r="J3" s="6">
        <v>0</v>
      </c>
      <c r="K3" s="6">
        <v>0</v>
      </c>
      <c r="L3" s="6">
        <v>60</v>
      </c>
      <c r="M3" s="6">
        <v>60</v>
      </c>
      <c r="N3" s="6">
        <v>60</v>
      </c>
      <c r="O3" s="6">
        <v>60</v>
      </c>
      <c r="P3" s="6">
        <v>100000</v>
      </c>
      <c r="Q3" s="6">
        <v>1.2</v>
      </c>
      <c r="R3" s="6">
        <v>4</v>
      </c>
    </row>
    <row r="4" spans="1:20" s="7" customFormat="1" x14ac:dyDescent="0.15">
      <c r="A4" s="7">
        <v>551</v>
      </c>
      <c r="B4" s="7">
        <v>0.1</v>
      </c>
      <c r="C4" s="7">
        <v>0.1</v>
      </c>
      <c r="D4" s="7">
        <v>0.95</v>
      </c>
      <c r="E4" s="7">
        <v>0.5</v>
      </c>
      <c r="F4" s="7">
        <v>0.5</v>
      </c>
      <c r="G4" s="7">
        <v>0.5</v>
      </c>
      <c r="H4" s="7">
        <v>1000</v>
      </c>
      <c r="I4" s="7">
        <v>-999</v>
      </c>
      <c r="J4" s="7">
        <v>-999</v>
      </c>
      <c r="K4" s="7">
        <v>-999</v>
      </c>
      <c r="L4" s="7">
        <v>60</v>
      </c>
      <c r="M4" s="7">
        <v>60</v>
      </c>
      <c r="N4" s="7">
        <v>60</v>
      </c>
      <c r="O4" s="7">
        <v>60</v>
      </c>
      <c r="P4" s="6">
        <v>100000</v>
      </c>
      <c r="Q4" s="6">
        <v>1.2</v>
      </c>
      <c r="R4" s="6">
        <v>4</v>
      </c>
      <c r="T4" s="8"/>
    </row>
    <row r="5" spans="1:20" s="9" customFormat="1" x14ac:dyDescent="0.15">
      <c r="A5" s="9">
        <v>661</v>
      </c>
      <c r="B5" s="9">
        <v>0.1</v>
      </c>
      <c r="C5" s="9">
        <v>0.1</v>
      </c>
      <c r="D5" s="9">
        <v>0.95</v>
      </c>
      <c r="E5" s="9">
        <v>0.5</v>
      </c>
      <c r="F5" s="9">
        <v>0.5</v>
      </c>
      <c r="G5" s="9">
        <v>0.5</v>
      </c>
      <c r="H5" s="9">
        <v>30000</v>
      </c>
      <c r="I5" s="9">
        <v>0</v>
      </c>
      <c r="J5" s="9">
        <v>0</v>
      </c>
      <c r="K5" s="9">
        <v>0</v>
      </c>
      <c r="L5" s="9">
        <v>60</v>
      </c>
      <c r="M5" s="9">
        <v>60</v>
      </c>
      <c r="N5" s="9">
        <v>60</v>
      </c>
      <c r="O5" s="9">
        <v>60</v>
      </c>
      <c r="P5" s="6">
        <v>100000</v>
      </c>
      <c r="Q5" s="6">
        <v>1.2</v>
      </c>
      <c r="R5" s="6">
        <v>4</v>
      </c>
      <c r="S5" s="10"/>
      <c r="T5" s="10"/>
    </row>
    <row r="6" spans="1:20" s="68" customFormat="1" x14ac:dyDescent="0.15">
      <c r="A6" s="68">
        <v>33661</v>
      </c>
      <c r="B6" s="68">
        <v>0.1</v>
      </c>
      <c r="C6" s="68">
        <v>0.1</v>
      </c>
      <c r="D6" s="68">
        <v>0.95</v>
      </c>
      <c r="E6" s="68">
        <v>0.5</v>
      </c>
      <c r="F6" s="68">
        <v>0.5</v>
      </c>
      <c r="G6" s="68">
        <v>0.5</v>
      </c>
      <c r="H6" s="68">
        <v>30000</v>
      </c>
      <c r="I6" s="68">
        <v>0</v>
      </c>
      <c r="J6" s="68">
        <v>0</v>
      </c>
      <c r="K6" s="68">
        <v>0</v>
      </c>
      <c r="L6" s="68">
        <v>60</v>
      </c>
      <c r="M6" s="68">
        <v>60</v>
      </c>
      <c r="N6" s="68">
        <v>60</v>
      </c>
      <c r="O6" s="68">
        <v>60</v>
      </c>
      <c r="P6" s="6">
        <v>100000</v>
      </c>
      <c r="Q6" s="6">
        <v>1.2</v>
      </c>
      <c r="R6" s="6">
        <v>4</v>
      </c>
      <c r="S6" s="69"/>
    </row>
    <row r="7" spans="1:20" x14ac:dyDescent="0.15">
      <c r="A7" s="6">
        <v>-9</v>
      </c>
    </row>
    <row r="8" spans="1:20" x14ac:dyDescent="0.15">
      <c r="A8" s="6">
        <v>-9</v>
      </c>
    </row>
    <row r="11" spans="1:20" x14ac:dyDescent="0.15">
      <c r="A11" s="6" t="s">
        <v>12</v>
      </c>
      <c r="E11" s="18" t="s">
        <v>262</v>
      </c>
    </row>
    <row r="12" spans="1:20" x14ac:dyDescent="0.15">
      <c r="A12" s="5" t="s">
        <v>12</v>
      </c>
      <c r="B12" s="5">
        <v>1</v>
      </c>
      <c r="C12" s="5"/>
      <c r="D12" s="5" t="s">
        <v>1</v>
      </c>
      <c r="E12" s="5" t="s">
        <v>263</v>
      </c>
      <c r="F12" s="5"/>
      <c r="G12" s="5"/>
      <c r="H12" s="5"/>
      <c r="I12" s="5"/>
      <c r="J12" s="5"/>
      <c r="L12" s="6" t="s">
        <v>264</v>
      </c>
    </row>
    <row r="13" spans="1:20" x14ac:dyDescent="0.15">
      <c r="A13" s="6" t="s">
        <v>12</v>
      </c>
      <c r="B13" s="6">
        <v>2</v>
      </c>
      <c r="D13" s="6" t="s">
        <v>528</v>
      </c>
      <c r="E13" s="6" t="s">
        <v>241</v>
      </c>
    </row>
    <row r="14" spans="1:20" x14ac:dyDescent="0.15">
      <c r="A14" s="6" t="s">
        <v>12</v>
      </c>
      <c r="B14" s="6">
        <v>3</v>
      </c>
      <c r="D14" s="6" t="s">
        <v>125</v>
      </c>
      <c r="E14" s="6" t="s">
        <v>526</v>
      </c>
    </row>
    <row r="15" spans="1:20" x14ac:dyDescent="0.15">
      <c r="A15" s="6" t="s">
        <v>12</v>
      </c>
      <c r="B15" s="6">
        <v>4</v>
      </c>
      <c r="D15" s="6" t="s">
        <v>6</v>
      </c>
      <c r="E15" s="6" t="s">
        <v>242</v>
      </c>
    </row>
    <row r="16" spans="1:20" x14ac:dyDescent="0.15">
      <c r="A16" s="6" t="s">
        <v>12</v>
      </c>
      <c r="B16" s="6">
        <v>5</v>
      </c>
      <c r="D16" s="6" t="s">
        <v>107</v>
      </c>
      <c r="E16" s="6" t="s">
        <v>243</v>
      </c>
      <c r="F16" s="11"/>
      <c r="G16" s="11"/>
      <c r="H16" s="11"/>
      <c r="J16" s="6" t="s">
        <v>207</v>
      </c>
    </row>
    <row r="17" spans="1:12" x14ac:dyDescent="0.15">
      <c r="A17" s="6" t="s">
        <v>12</v>
      </c>
      <c r="B17" s="5">
        <v>6</v>
      </c>
      <c r="D17" s="6" t="s">
        <v>108</v>
      </c>
      <c r="E17" s="6" t="s">
        <v>244</v>
      </c>
      <c r="J17" s="6" t="s">
        <v>207</v>
      </c>
    </row>
    <row r="18" spans="1:12" x14ac:dyDescent="0.15">
      <c r="A18" s="6" t="s">
        <v>12</v>
      </c>
      <c r="B18" s="6">
        <v>7</v>
      </c>
      <c r="C18" s="5"/>
      <c r="D18" s="6" t="s">
        <v>522</v>
      </c>
      <c r="E18" s="6" t="s">
        <v>521</v>
      </c>
      <c r="J18" s="6" t="s">
        <v>207</v>
      </c>
    </row>
    <row r="19" spans="1:12" x14ac:dyDescent="0.15">
      <c r="A19" s="6" t="s">
        <v>12</v>
      </c>
      <c r="B19" s="6">
        <v>8</v>
      </c>
      <c r="D19" s="6" t="s">
        <v>499</v>
      </c>
      <c r="E19" s="6" t="s">
        <v>500</v>
      </c>
      <c r="J19" s="6" t="s">
        <v>207</v>
      </c>
    </row>
    <row r="20" spans="1:12" x14ac:dyDescent="0.15">
      <c r="A20" s="6" t="s">
        <v>12</v>
      </c>
      <c r="B20" s="6">
        <v>9</v>
      </c>
      <c r="D20" s="6" t="s">
        <v>109</v>
      </c>
      <c r="E20" s="6" t="s">
        <v>245</v>
      </c>
      <c r="L20" s="5" t="s">
        <v>265</v>
      </c>
    </row>
    <row r="21" spans="1:12" x14ac:dyDescent="0.15">
      <c r="A21" s="6" t="s">
        <v>12</v>
      </c>
      <c r="B21" s="6">
        <v>10</v>
      </c>
      <c r="D21" s="6" t="s">
        <v>110</v>
      </c>
      <c r="E21" s="6" t="s">
        <v>246</v>
      </c>
      <c r="L21" s="5" t="s">
        <v>265</v>
      </c>
    </row>
    <row r="22" spans="1:12" x14ac:dyDescent="0.15">
      <c r="A22" s="6" t="s">
        <v>12</v>
      </c>
      <c r="B22" s="5">
        <v>11</v>
      </c>
      <c r="D22" s="6" t="s">
        <v>111</v>
      </c>
      <c r="E22" s="6" t="s">
        <v>246</v>
      </c>
      <c r="L22" s="5" t="s">
        <v>265</v>
      </c>
    </row>
    <row r="23" spans="1:12" x14ac:dyDescent="0.15">
      <c r="A23" s="6" t="s">
        <v>12</v>
      </c>
      <c r="B23" s="6">
        <v>12</v>
      </c>
      <c r="C23" s="5"/>
      <c r="D23" s="6" t="s">
        <v>150</v>
      </c>
      <c r="L23" s="6" t="s">
        <v>250</v>
      </c>
    </row>
    <row r="24" spans="1:12" x14ac:dyDescent="0.15">
      <c r="A24" s="6" t="s">
        <v>12</v>
      </c>
      <c r="B24" s="6">
        <v>13</v>
      </c>
      <c r="D24" s="6" t="s">
        <v>151</v>
      </c>
    </row>
    <row r="25" spans="1:12" x14ac:dyDescent="0.15">
      <c r="A25" s="6" t="s">
        <v>12</v>
      </c>
      <c r="B25" s="6">
        <v>14</v>
      </c>
      <c r="D25" s="6" t="s">
        <v>152</v>
      </c>
      <c r="E25" s="12"/>
      <c r="F25" s="12"/>
      <c r="G25" s="12"/>
      <c r="H25" s="12"/>
      <c r="I25" s="12"/>
      <c r="J25" s="12"/>
      <c r="K25" s="12"/>
      <c r="L25" s="12"/>
    </row>
    <row r="26" spans="1:12" x14ac:dyDescent="0.15">
      <c r="A26" s="6" t="s">
        <v>12</v>
      </c>
      <c r="B26" s="6">
        <v>15</v>
      </c>
      <c r="D26" s="6" t="s">
        <v>153</v>
      </c>
      <c r="E26" s="12"/>
      <c r="F26" s="12"/>
      <c r="G26" s="12"/>
      <c r="H26" s="12"/>
      <c r="I26" s="12"/>
      <c r="J26" s="12"/>
      <c r="K26" s="12"/>
      <c r="L26" s="12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V30"/>
  <sheetViews>
    <sheetView topLeftCell="M1" workbookViewId="0">
      <selection activeCell="X9" sqref="X9"/>
    </sheetView>
  </sheetViews>
  <sheetFormatPr baseColWidth="10" defaultColWidth="8.83203125" defaultRowHeight="14" x14ac:dyDescent="0.15"/>
  <cols>
    <col min="1" max="12" width="9.1640625" style="6" customWidth="1"/>
    <col min="13" max="13" width="8.83203125" style="6"/>
    <col min="14" max="16" width="9.1640625" style="6" customWidth="1"/>
    <col min="17" max="19" width="8.83203125" style="6"/>
    <col min="20" max="22" width="9.1640625" style="6" customWidth="1"/>
    <col min="23" max="16384" width="8.83203125" style="6"/>
  </cols>
  <sheetData>
    <row r="1" spans="1:22" x14ac:dyDescent="0.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</row>
    <row r="2" spans="1:22" x14ac:dyDescent="0.15">
      <c r="A2" s="6" t="s">
        <v>1</v>
      </c>
      <c r="B2" s="6" t="s">
        <v>122</v>
      </c>
      <c r="C2" s="6" t="s">
        <v>123</v>
      </c>
      <c r="D2" s="6" t="s">
        <v>124</v>
      </c>
      <c r="E2" s="6" t="s">
        <v>125</v>
      </c>
      <c r="F2" s="6" t="s">
        <v>6</v>
      </c>
      <c r="G2" s="6" t="s">
        <v>131</v>
      </c>
      <c r="H2" s="6" t="s">
        <v>130</v>
      </c>
      <c r="I2" s="6" t="s">
        <v>126</v>
      </c>
      <c r="J2" s="6" t="s">
        <v>127</v>
      </c>
      <c r="K2" s="6" t="s">
        <v>128</v>
      </c>
      <c r="L2" s="6" t="s">
        <v>129</v>
      </c>
      <c r="M2" s="6" t="s">
        <v>132</v>
      </c>
      <c r="N2" s="6" t="s">
        <v>133</v>
      </c>
      <c r="O2" s="6" t="s">
        <v>140</v>
      </c>
      <c r="P2" s="6" t="s">
        <v>150</v>
      </c>
      <c r="Q2" s="6" t="s">
        <v>151</v>
      </c>
      <c r="R2" s="6" t="s">
        <v>152</v>
      </c>
      <c r="S2" s="6" t="s">
        <v>153</v>
      </c>
      <c r="T2" s="6" t="s">
        <v>568</v>
      </c>
      <c r="U2" s="6" t="s">
        <v>569</v>
      </c>
      <c r="V2" s="6" t="s">
        <v>570</v>
      </c>
    </row>
    <row r="3" spans="1:22" x14ac:dyDescent="0.15">
      <c r="A3" s="6">
        <v>1</v>
      </c>
      <c r="B3" s="6">
        <v>1.6000000000000001E-3</v>
      </c>
      <c r="C3" s="6">
        <v>0.12</v>
      </c>
      <c r="D3" s="6">
        <v>0.18</v>
      </c>
      <c r="E3" s="6">
        <v>0.85</v>
      </c>
      <c r="F3" s="6">
        <v>0.99</v>
      </c>
      <c r="G3" s="6">
        <v>1.7999999999999999E-2</v>
      </c>
      <c r="H3" s="6">
        <v>0.11</v>
      </c>
      <c r="I3" s="6">
        <v>2</v>
      </c>
      <c r="J3" s="6">
        <v>100</v>
      </c>
      <c r="K3" s="6">
        <v>400</v>
      </c>
      <c r="L3" s="6">
        <v>4.2999999999999997E-2</v>
      </c>
      <c r="M3" s="6">
        <v>0.05</v>
      </c>
      <c r="N3" s="6">
        <v>0.2</v>
      </c>
      <c r="O3" s="6">
        <v>2.2000000000000002</v>
      </c>
      <c r="P3" s="6">
        <v>61</v>
      </c>
      <c r="Q3" s="6">
        <v>61</v>
      </c>
      <c r="R3" s="6">
        <v>61</v>
      </c>
      <c r="S3" s="6">
        <v>61</v>
      </c>
      <c r="T3" s="6">
        <v>100000</v>
      </c>
      <c r="U3" s="6">
        <v>1.2</v>
      </c>
      <c r="V3" s="6">
        <v>4</v>
      </c>
    </row>
    <row r="4" spans="1:22" s="7" customFormat="1" x14ac:dyDescent="0.15">
      <c r="A4" s="7">
        <v>550</v>
      </c>
      <c r="B4" s="7">
        <v>1E-3</v>
      </c>
      <c r="C4" s="7">
        <v>0.14000000000000001</v>
      </c>
      <c r="D4" s="7">
        <v>0.18</v>
      </c>
      <c r="E4" s="7">
        <v>0.8</v>
      </c>
      <c r="F4" s="7">
        <v>0.99</v>
      </c>
      <c r="G4" s="7">
        <v>0.01</v>
      </c>
      <c r="H4" s="7">
        <v>0.1</v>
      </c>
      <c r="I4" s="7">
        <v>2</v>
      </c>
      <c r="J4" s="7">
        <v>100</v>
      </c>
      <c r="K4" s="7">
        <v>450</v>
      </c>
      <c r="L4" s="7">
        <v>0.02</v>
      </c>
      <c r="M4" s="7">
        <v>0.03</v>
      </c>
      <c r="N4" s="7">
        <v>0.1</v>
      </c>
      <c r="O4" s="7">
        <v>2.2000000000000002</v>
      </c>
      <c r="P4" s="7">
        <v>61</v>
      </c>
      <c r="Q4" s="7">
        <v>61</v>
      </c>
      <c r="R4" s="7">
        <v>61</v>
      </c>
      <c r="S4" s="7">
        <v>61</v>
      </c>
      <c r="T4" s="6">
        <v>100000</v>
      </c>
      <c r="U4" s="6">
        <v>1.2</v>
      </c>
      <c r="V4" s="6">
        <v>4</v>
      </c>
    </row>
    <row r="5" spans="1:22" s="9" customFormat="1" x14ac:dyDescent="0.15">
      <c r="A5" s="9">
        <v>660</v>
      </c>
      <c r="B5" s="9">
        <v>1E-3</v>
      </c>
      <c r="C5" s="9">
        <v>0.14000000000000001</v>
      </c>
      <c r="D5" s="9">
        <v>0.18</v>
      </c>
      <c r="E5" s="9">
        <v>0.8</v>
      </c>
      <c r="F5" s="9">
        <v>0.99</v>
      </c>
      <c r="G5" s="9">
        <v>0.01</v>
      </c>
      <c r="H5" s="9">
        <v>0.1</v>
      </c>
      <c r="I5" s="9">
        <v>2</v>
      </c>
      <c r="J5" s="9">
        <v>100</v>
      </c>
      <c r="K5" s="9">
        <v>450</v>
      </c>
      <c r="L5" s="9">
        <v>0.02</v>
      </c>
      <c r="M5" s="9">
        <v>0.03</v>
      </c>
      <c r="N5" s="9">
        <v>0.1</v>
      </c>
      <c r="O5" s="9">
        <v>2.2000000000000002</v>
      </c>
      <c r="P5" s="9">
        <v>61</v>
      </c>
      <c r="Q5" s="9">
        <v>61</v>
      </c>
      <c r="R5" s="9">
        <v>61</v>
      </c>
      <c r="S5" s="9">
        <v>61</v>
      </c>
      <c r="T5" s="6">
        <v>100000</v>
      </c>
      <c r="U5" s="6">
        <v>1.2</v>
      </c>
      <c r="V5" s="6">
        <v>4</v>
      </c>
    </row>
    <row r="6" spans="1:22" s="68" customFormat="1" x14ac:dyDescent="0.15">
      <c r="A6" s="68">
        <v>33660</v>
      </c>
      <c r="B6" s="68">
        <v>1E-3</v>
      </c>
      <c r="C6" s="68">
        <v>0.14000000000000001</v>
      </c>
      <c r="D6" s="68">
        <v>0.18</v>
      </c>
      <c r="E6" s="68">
        <v>0.8</v>
      </c>
      <c r="F6" s="68">
        <v>0.99</v>
      </c>
      <c r="G6" s="68">
        <v>0.01</v>
      </c>
      <c r="H6" s="68">
        <v>0.1</v>
      </c>
      <c r="I6" s="68">
        <v>2</v>
      </c>
      <c r="J6" s="68">
        <v>100</v>
      </c>
      <c r="K6" s="68">
        <v>450</v>
      </c>
      <c r="L6" s="68">
        <v>0.02</v>
      </c>
      <c r="M6" s="68">
        <v>0.03</v>
      </c>
      <c r="N6" s="68">
        <v>0.1</v>
      </c>
      <c r="O6" s="68">
        <v>2.2000000000000002</v>
      </c>
      <c r="P6" s="68">
        <v>61</v>
      </c>
      <c r="Q6" s="68">
        <v>61</v>
      </c>
      <c r="R6" s="68">
        <v>61</v>
      </c>
      <c r="S6" s="68">
        <v>61</v>
      </c>
      <c r="T6" s="6">
        <v>100000</v>
      </c>
      <c r="U6" s="6">
        <v>1.2</v>
      </c>
      <c r="V6" s="6">
        <v>4</v>
      </c>
    </row>
    <row r="7" spans="1:22" x14ac:dyDescent="0.15">
      <c r="A7" s="6">
        <v>-9</v>
      </c>
    </row>
    <row r="8" spans="1:22" x14ac:dyDescent="0.15">
      <c r="A8" s="6">
        <v>-9</v>
      </c>
    </row>
    <row r="10" spans="1:22" x14ac:dyDescent="0.15">
      <c r="A10" s="13"/>
      <c r="B10" s="13"/>
      <c r="C10" s="13"/>
      <c r="D10" s="15"/>
      <c r="E10" s="13"/>
      <c r="F10" s="13"/>
      <c r="G10" s="13"/>
      <c r="H10" s="13"/>
    </row>
    <row r="11" spans="1:22" x14ac:dyDescent="0.15">
      <c r="A11" s="13" t="s">
        <v>12</v>
      </c>
      <c r="B11" s="13">
        <v>1</v>
      </c>
      <c r="C11" s="13" t="s">
        <v>1</v>
      </c>
      <c r="D11" s="13" t="s">
        <v>266</v>
      </c>
      <c r="E11" s="13"/>
      <c r="F11" s="13"/>
      <c r="G11" s="13"/>
      <c r="H11" s="13" t="s">
        <v>267</v>
      </c>
    </row>
    <row r="12" spans="1:22" x14ac:dyDescent="0.15">
      <c r="A12" s="13" t="s">
        <v>12</v>
      </c>
      <c r="B12" s="13">
        <v>2</v>
      </c>
      <c r="C12" s="6" t="s">
        <v>122</v>
      </c>
      <c r="D12" s="13" t="s">
        <v>268</v>
      </c>
      <c r="E12" s="13"/>
      <c r="F12" s="13"/>
      <c r="G12" s="13"/>
      <c r="H12" s="13"/>
    </row>
    <row r="13" spans="1:22" x14ac:dyDescent="0.15">
      <c r="A13" s="13" t="s">
        <v>12</v>
      </c>
      <c r="B13" s="13">
        <v>3</v>
      </c>
      <c r="C13" s="6" t="s">
        <v>123</v>
      </c>
      <c r="D13" s="13" t="s">
        <v>269</v>
      </c>
      <c r="E13" s="13"/>
      <c r="F13" s="13"/>
      <c r="G13" s="13"/>
      <c r="H13" s="13"/>
    </row>
    <row r="14" spans="1:22" x14ac:dyDescent="0.15">
      <c r="A14" s="13" t="s">
        <v>12</v>
      </c>
      <c r="B14" s="13">
        <v>4</v>
      </c>
      <c r="C14" s="6" t="s">
        <v>124</v>
      </c>
      <c r="D14" s="13" t="s">
        <v>270</v>
      </c>
    </row>
    <row r="15" spans="1:22" x14ac:dyDescent="0.15">
      <c r="A15" s="13" t="s">
        <v>12</v>
      </c>
      <c r="B15" s="13">
        <v>5</v>
      </c>
      <c r="C15" s="6" t="s">
        <v>125</v>
      </c>
      <c r="D15" s="13" t="s">
        <v>271</v>
      </c>
    </row>
    <row r="16" spans="1:22" x14ac:dyDescent="0.15">
      <c r="A16" s="13" t="s">
        <v>12</v>
      </c>
      <c r="B16" s="13">
        <v>6</v>
      </c>
      <c r="C16" s="6" t="s">
        <v>2</v>
      </c>
      <c r="D16" s="13" t="s">
        <v>2</v>
      </c>
    </row>
    <row r="17" spans="1:8" x14ac:dyDescent="0.15">
      <c r="A17" s="13" t="s">
        <v>12</v>
      </c>
      <c r="B17" s="13">
        <v>7</v>
      </c>
      <c r="C17" s="6" t="s">
        <v>6</v>
      </c>
      <c r="D17" s="13" t="s">
        <v>6</v>
      </c>
    </row>
    <row r="18" spans="1:8" x14ac:dyDescent="0.15">
      <c r="A18" s="13" t="s">
        <v>12</v>
      </c>
      <c r="B18" s="13">
        <v>8</v>
      </c>
      <c r="C18" s="6" t="s">
        <v>131</v>
      </c>
      <c r="D18" s="13" t="s">
        <v>272</v>
      </c>
    </row>
    <row r="19" spans="1:8" x14ac:dyDescent="0.15">
      <c r="A19" s="13" t="s">
        <v>12</v>
      </c>
      <c r="B19" s="13">
        <v>9</v>
      </c>
      <c r="C19" s="6" t="s">
        <v>130</v>
      </c>
      <c r="D19" s="13" t="s">
        <v>273</v>
      </c>
    </row>
    <row r="20" spans="1:8" x14ac:dyDescent="0.15">
      <c r="A20" s="13" t="s">
        <v>12</v>
      </c>
      <c r="B20" s="13">
        <v>10</v>
      </c>
      <c r="C20" s="6" t="s">
        <v>126</v>
      </c>
      <c r="D20" s="13" t="s">
        <v>274</v>
      </c>
    </row>
    <row r="21" spans="1:8" x14ac:dyDescent="0.15">
      <c r="A21" s="13" t="s">
        <v>12</v>
      </c>
      <c r="B21" s="13">
        <v>11</v>
      </c>
      <c r="C21" s="6" t="s">
        <v>127</v>
      </c>
      <c r="D21" s="13" t="s">
        <v>275</v>
      </c>
      <c r="F21" s="6" t="s">
        <v>277</v>
      </c>
    </row>
    <row r="22" spans="1:8" x14ac:dyDescent="0.15">
      <c r="A22" s="13" t="s">
        <v>12</v>
      </c>
      <c r="B22" s="13">
        <v>12</v>
      </c>
      <c r="C22" s="6" t="s">
        <v>128</v>
      </c>
      <c r="D22" s="13" t="s">
        <v>276</v>
      </c>
      <c r="F22" s="6" t="s">
        <v>277</v>
      </c>
    </row>
    <row r="23" spans="1:8" x14ac:dyDescent="0.15">
      <c r="A23" s="6" t="s">
        <v>12</v>
      </c>
      <c r="B23" s="13">
        <v>13</v>
      </c>
      <c r="C23" s="6" t="s">
        <v>129</v>
      </c>
      <c r="D23" s="13" t="s">
        <v>278</v>
      </c>
    </row>
    <row r="24" spans="1:8" x14ac:dyDescent="0.15">
      <c r="A24" s="6" t="s">
        <v>12</v>
      </c>
      <c r="B24" s="13">
        <v>14</v>
      </c>
      <c r="C24" s="6" t="s">
        <v>132</v>
      </c>
      <c r="D24" s="13" t="s">
        <v>279</v>
      </c>
    </row>
    <row r="25" spans="1:8" x14ac:dyDescent="0.15">
      <c r="A25" s="6" t="s">
        <v>12</v>
      </c>
      <c r="B25" s="13">
        <v>15</v>
      </c>
      <c r="C25" s="6" t="s">
        <v>133</v>
      </c>
      <c r="D25" s="13" t="s">
        <v>280</v>
      </c>
    </row>
    <row r="26" spans="1:8" x14ac:dyDescent="0.15">
      <c r="A26" s="6" t="s">
        <v>12</v>
      </c>
      <c r="B26" s="13">
        <v>16</v>
      </c>
      <c r="C26" s="6" t="s">
        <v>140</v>
      </c>
      <c r="D26" s="13" t="s">
        <v>517</v>
      </c>
      <c r="F26" s="6" t="s">
        <v>252</v>
      </c>
    </row>
    <row r="27" spans="1:8" x14ac:dyDescent="0.15">
      <c r="A27" s="6" t="s">
        <v>12</v>
      </c>
      <c r="B27" s="13">
        <v>17</v>
      </c>
      <c r="C27" s="6" t="s">
        <v>150</v>
      </c>
      <c r="H27" s="6" t="s">
        <v>250</v>
      </c>
    </row>
    <row r="28" spans="1:8" x14ac:dyDescent="0.15">
      <c r="A28" s="6" t="s">
        <v>12</v>
      </c>
      <c r="B28" s="13">
        <v>18</v>
      </c>
      <c r="C28" s="6" t="s">
        <v>151</v>
      </c>
    </row>
    <row r="29" spans="1:8" x14ac:dyDescent="0.15">
      <c r="A29" s="6" t="s">
        <v>12</v>
      </c>
      <c r="B29" s="13">
        <v>19</v>
      </c>
      <c r="C29" s="6" t="s">
        <v>152</v>
      </c>
      <c r="D29" s="12"/>
      <c r="E29" s="12"/>
      <c r="F29" s="12"/>
      <c r="G29" s="12"/>
      <c r="H29" s="12"/>
    </row>
    <row r="30" spans="1:8" x14ac:dyDescent="0.15">
      <c r="A30" s="6" t="s">
        <v>12</v>
      </c>
      <c r="B30" s="13">
        <v>20</v>
      </c>
      <c r="C30" s="6" t="s">
        <v>153</v>
      </c>
      <c r="D30" s="12"/>
      <c r="E30" s="12"/>
      <c r="F30" s="12"/>
      <c r="G30" s="12"/>
      <c r="H30" s="12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60"/>
  <sheetViews>
    <sheetView workbookViewId="0">
      <selection activeCell="B17" sqref="B17"/>
    </sheetView>
  </sheetViews>
  <sheetFormatPr baseColWidth="10" defaultColWidth="19.1640625" defaultRowHeight="14" x14ac:dyDescent="0.15"/>
  <cols>
    <col min="1" max="1" width="9.1640625" style="5" customWidth="1"/>
    <col min="2" max="9" width="19.1640625" style="5"/>
    <col min="10" max="10" width="3" style="5" customWidth="1"/>
    <col min="11" max="11" width="22.5" style="5" bestFit="1" customWidth="1"/>
    <col min="12" max="16384" width="19.1640625" style="5"/>
  </cols>
  <sheetData>
    <row r="1" spans="1:12" s="20" customFormat="1" x14ac:dyDescent="0.15">
      <c r="A1" s="20">
        <v>1</v>
      </c>
      <c r="B1" s="20">
        <v>2</v>
      </c>
      <c r="C1" s="20">
        <v>3</v>
      </c>
      <c r="D1" s="20">
        <v>4</v>
      </c>
      <c r="E1" s="20">
        <v>5</v>
      </c>
      <c r="F1" s="20">
        <v>6</v>
      </c>
      <c r="G1" s="20">
        <v>7</v>
      </c>
      <c r="H1" s="20">
        <v>8</v>
      </c>
      <c r="I1" s="20">
        <v>9</v>
      </c>
    </row>
    <row r="2" spans="1:12" s="20" customFormat="1" x14ac:dyDescent="0.15">
      <c r="A2" s="20" t="s">
        <v>1</v>
      </c>
      <c r="B2" s="20" t="s">
        <v>474</v>
      </c>
      <c r="C2" s="21" t="s">
        <v>112</v>
      </c>
      <c r="D2" s="20" t="s">
        <v>145</v>
      </c>
      <c r="E2" s="20" t="s">
        <v>23</v>
      </c>
      <c r="F2" s="20" t="s">
        <v>146</v>
      </c>
      <c r="G2" s="20" t="s">
        <v>142</v>
      </c>
      <c r="H2" s="20" t="s">
        <v>143</v>
      </c>
      <c r="I2" s="20" t="s">
        <v>141</v>
      </c>
    </row>
    <row r="3" spans="1:12" x14ac:dyDescent="0.15">
      <c r="A3" s="5">
        <v>50</v>
      </c>
      <c r="B3" s="5">
        <v>233</v>
      </c>
      <c r="C3" s="21">
        <v>100</v>
      </c>
      <c r="D3" s="22">
        <v>5.0000000000000001E-4</v>
      </c>
      <c r="E3" s="5">
        <v>1.1599999999999999</v>
      </c>
      <c r="F3" s="5">
        <v>10</v>
      </c>
      <c r="G3" s="5">
        <v>-999</v>
      </c>
      <c r="H3" s="5">
        <v>-999</v>
      </c>
      <c r="I3" s="5">
        <v>-999</v>
      </c>
      <c r="J3" s="5" t="s">
        <v>12</v>
      </c>
    </row>
    <row r="4" spans="1:12" x14ac:dyDescent="0.15">
      <c r="A4" s="5">
        <v>60</v>
      </c>
      <c r="B4" s="5">
        <v>116</v>
      </c>
      <c r="C4" s="21">
        <v>50</v>
      </c>
      <c r="D4" s="22">
        <v>5.0000000000000001E-4</v>
      </c>
      <c r="E4" s="5">
        <v>1.1599999999999999</v>
      </c>
      <c r="F4" s="5">
        <v>10</v>
      </c>
      <c r="G4" s="5">
        <v>-999</v>
      </c>
      <c r="H4" s="5">
        <v>-999</v>
      </c>
      <c r="I4" s="5">
        <v>-999</v>
      </c>
      <c r="J4" s="5" t="s">
        <v>12</v>
      </c>
    </row>
    <row r="5" spans="1:12" x14ac:dyDescent="0.15">
      <c r="A5" s="5">
        <v>70</v>
      </c>
      <c r="B5" s="5">
        <v>349</v>
      </c>
      <c r="C5" s="21">
        <v>150</v>
      </c>
      <c r="D5" s="22">
        <v>5.0000000000000001E-4</v>
      </c>
      <c r="E5" s="5">
        <v>1.1599999999999999</v>
      </c>
      <c r="F5" s="5">
        <v>10</v>
      </c>
      <c r="G5" s="5">
        <v>-999</v>
      </c>
      <c r="H5" s="5">
        <v>-999</v>
      </c>
      <c r="I5" s="5">
        <v>-999</v>
      </c>
    </row>
    <row r="6" spans="1:12" x14ac:dyDescent="0.15">
      <c r="A6" s="5">
        <v>51</v>
      </c>
      <c r="B6" s="5">
        <v>333</v>
      </c>
      <c r="C6" s="21">
        <v>150</v>
      </c>
      <c r="D6" s="22">
        <v>0.05</v>
      </c>
      <c r="E6" s="5">
        <v>-999</v>
      </c>
      <c r="F6" s="5">
        <v>25</v>
      </c>
      <c r="G6" s="5">
        <v>-999</v>
      </c>
      <c r="H6" s="5">
        <v>-999</v>
      </c>
      <c r="I6" s="5">
        <v>-999</v>
      </c>
      <c r="J6" s="5" t="s">
        <v>12</v>
      </c>
      <c r="K6" s="5" t="s">
        <v>63</v>
      </c>
    </row>
    <row r="7" spans="1:12" x14ac:dyDescent="0.15">
      <c r="A7" s="5">
        <v>52</v>
      </c>
      <c r="B7" s="5">
        <v>300</v>
      </c>
      <c r="C7" s="21">
        <v>150</v>
      </c>
      <c r="D7" s="22">
        <v>0.01</v>
      </c>
      <c r="E7" s="5">
        <v>-999</v>
      </c>
      <c r="F7" s="5">
        <v>15</v>
      </c>
      <c r="G7" s="5">
        <v>-999</v>
      </c>
      <c r="H7" s="5">
        <v>-999</v>
      </c>
      <c r="I7" s="5">
        <v>-999</v>
      </c>
      <c r="J7" s="5" t="s">
        <v>12</v>
      </c>
      <c r="K7" s="5" t="s">
        <v>64</v>
      </c>
    </row>
    <row r="8" spans="1:12" x14ac:dyDescent="0.15">
      <c r="A8" s="5">
        <v>53</v>
      </c>
      <c r="B8" s="5">
        <v>300</v>
      </c>
      <c r="C8" s="21">
        <v>150</v>
      </c>
      <c r="D8" s="22">
        <v>1E-3</v>
      </c>
      <c r="E8" s="5">
        <v>-999</v>
      </c>
      <c r="F8" s="5">
        <v>7.5</v>
      </c>
      <c r="G8" s="5">
        <v>-999</v>
      </c>
      <c r="H8" s="5">
        <v>-999</v>
      </c>
      <c r="I8" s="5">
        <v>-999</v>
      </c>
      <c r="J8" s="5" t="s">
        <v>12</v>
      </c>
      <c r="K8" s="5" t="s">
        <v>65</v>
      </c>
    </row>
    <row r="9" spans="1:12" x14ac:dyDescent="0.15">
      <c r="A9" s="5">
        <v>54</v>
      </c>
      <c r="B9" s="5">
        <v>250</v>
      </c>
      <c r="C9" s="21">
        <v>150</v>
      </c>
      <c r="D9" s="22">
        <v>5.0000000000000002E-5</v>
      </c>
      <c r="E9" s="5">
        <v>-999</v>
      </c>
      <c r="F9" s="5">
        <v>2.5</v>
      </c>
      <c r="G9" s="5">
        <v>-999</v>
      </c>
      <c r="H9" s="5">
        <v>-999</v>
      </c>
      <c r="I9" s="5">
        <v>-999</v>
      </c>
      <c r="J9" s="5" t="s">
        <v>12</v>
      </c>
      <c r="K9" s="5" t="s">
        <v>66</v>
      </c>
    </row>
    <row r="10" spans="1:12" x14ac:dyDescent="0.15">
      <c r="A10" s="5">
        <v>55</v>
      </c>
      <c r="B10" s="5">
        <v>-999</v>
      </c>
      <c r="C10" s="21">
        <v>-999</v>
      </c>
      <c r="D10" s="5">
        <v>-999</v>
      </c>
      <c r="E10" s="5">
        <v>-999</v>
      </c>
      <c r="F10" s="5">
        <v>0.5</v>
      </c>
      <c r="G10" s="5">
        <v>-999</v>
      </c>
      <c r="H10" s="5">
        <v>-999</v>
      </c>
      <c r="I10" s="5">
        <v>-999</v>
      </c>
      <c r="J10" s="5" t="s">
        <v>12</v>
      </c>
      <c r="K10" s="5" t="s">
        <v>67</v>
      </c>
    </row>
    <row r="11" spans="1:12" x14ac:dyDescent="0.15">
      <c r="A11" s="5">
        <v>56</v>
      </c>
      <c r="B11" s="5">
        <v>-999</v>
      </c>
      <c r="C11" s="21">
        <v>-999</v>
      </c>
      <c r="D11" s="23">
        <v>-999</v>
      </c>
      <c r="E11" s="5">
        <v>-999</v>
      </c>
      <c r="F11" s="5">
        <v>-999</v>
      </c>
      <c r="G11" s="5">
        <v>150</v>
      </c>
      <c r="H11" s="5">
        <v>0.42499999999999999</v>
      </c>
      <c r="I11" s="5">
        <v>0.85</v>
      </c>
      <c r="J11" s="5" t="s">
        <v>12</v>
      </c>
      <c r="K11" s="5" t="s">
        <v>281</v>
      </c>
    </row>
    <row r="12" spans="1:12" s="73" customFormat="1" x14ac:dyDescent="0.15">
      <c r="A12" s="73">
        <v>551</v>
      </c>
      <c r="B12" s="73">
        <v>350</v>
      </c>
      <c r="C12" s="7">
        <v>150</v>
      </c>
      <c r="D12" s="74">
        <v>5.0000000000000001E-4</v>
      </c>
      <c r="E12" s="73">
        <v>-999</v>
      </c>
      <c r="F12" s="73">
        <v>-999</v>
      </c>
      <c r="G12" s="73">
        <v>-999</v>
      </c>
      <c r="H12" s="73">
        <v>-999</v>
      </c>
      <c r="I12" s="73">
        <v>-999</v>
      </c>
      <c r="J12" s="73" t="s">
        <v>12</v>
      </c>
      <c r="K12" s="73" t="s">
        <v>563</v>
      </c>
      <c r="L12" s="73" t="s">
        <v>360</v>
      </c>
    </row>
    <row r="13" spans="1:12" s="73" customFormat="1" x14ac:dyDescent="0.15">
      <c r="A13" s="73">
        <v>552</v>
      </c>
      <c r="B13" s="73">
        <v>350</v>
      </c>
      <c r="C13" s="7">
        <v>150</v>
      </c>
      <c r="D13" s="74">
        <v>5.0000000000000001E-4</v>
      </c>
      <c r="E13" s="73">
        <v>-999</v>
      </c>
      <c r="F13" s="73">
        <v>-999</v>
      </c>
      <c r="G13" s="73">
        <v>-999</v>
      </c>
      <c r="H13" s="73">
        <v>-999</v>
      </c>
      <c r="I13" s="73">
        <v>-999</v>
      </c>
      <c r="J13" s="73" t="s">
        <v>12</v>
      </c>
      <c r="K13" s="73" t="s">
        <v>564</v>
      </c>
      <c r="L13" s="73" t="s">
        <v>360</v>
      </c>
    </row>
    <row r="14" spans="1:12" s="73" customFormat="1" x14ac:dyDescent="0.15">
      <c r="A14" s="73">
        <v>553</v>
      </c>
      <c r="B14" s="73">
        <v>350</v>
      </c>
      <c r="C14" s="7">
        <v>150</v>
      </c>
      <c r="D14" s="74">
        <v>5.0000000000000001E-4</v>
      </c>
      <c r="E14" s="73">
        <v>-999</v>
      </c>
      <c r="F14" s="73">
        <v>-999</v>
      </c>
      <c r="G14" s="73">
        <v>-999</v>
      </c>
      <c r="H14" s="73">
        <v>-999</v>
      </c>
      <c r="I14" s="73">
        <v>-999</v>
      </c>
      <c r="J14" s="73" t="s">
        <v>12</v>
      </c>
      <c r="K14" s="73" t="s">
        <v>565</v>
      </c>
      <c r="L14" s="73" t="s">
        <v>360</v>
      </c>
    </row>
    <row r="15" spans="1:12" s="24" customFormat="1" x14ac:dyDescent="0.15">
      <c r="A15" s="24">
        <v>661</v>
      </c>
      <c r="B15" s="24">
        <v>350</v>
      </c>
      <c r="C15" s="9">
        <v>150</v>
      </c>
      <c r="D15" s="25">
        <v>5.0000000000000001E-4</v>
      </c>
      <c r="E15" s="24">
        <v>-999</v>
      </c>
      <c r="F15" s="24">
        <v>-999</v>
      </c>
      <c r="G15" s="24">
        <v>-999</v>
      </c>
      <c r="H15" s="24">
        <v>-999</v>
      </c>
      <c r="I15" s="24">
        <v>-999</v>
      </c>
      <c r="J15" s="24" t="s">
        <v>12</v>
      </c>
      <c r="K15" s="24" t="s">
        <v>512</v>
      </c>
    </row>
    <row r="16" spans="1:12" s="71" customFormat="1" x14ac:dyDescent="0.15">
      <c r="A16" s="71">
        <v>33661</v>
      </c>
      <c r="B16" s="71">
        <v>350</v>
      </c>
      <c r="C16" s="68">
        <v>150</v>
      </c>
      <c r="D16" s="72">
        <v>5.0000000000000001E-4</v>
      </c>
      <c r="E16" s="71">
        <v>-999</v>
      </c>
      <c r="F16" s="71">
        <v>-999</v>
      </c>
      <c r="G16" s="71">
        <v>-999</v>
      </c>
      <c r="H16" s="71">
        <v>-999</v>
      </c>
      <c r="I16" s="71">
        <v>-999</v>
      </c>
      <c r="J16" s="71" t="s">
        <v>12</v>
      </c>
      <c r="K16" s="71" t="s">
        <v>562</v>
      </c>
    </row>
    <row r="17" spans="1:10" x14ac:dyDescent="0.15">
      <c r="A17" s="5">
        <v>-9</v>
      </c>
      <c r="H17" s="22"/>
    </row>
    <row r="18" spans="1:10" x14ac:dyDescent="0.15">
      <c r="A18" s="5">
        <v>-9</v>
      </c>
    </row>
    <row r="21" spans="1:10" x14ac:dyDescent="0.15">
      <c r="A21" s="5" t="s">
        <v>12</v>
      </c>
      <c r="B21" s="5">
        <v>1</v>
      </c>
      <c r="D21" s="5" t="s">
        <v>1</v>
      </c>
      <c r="E21" s="5" t="s">
        <v>291</v>
      </c>
      <c r="J21" s="5" t="s">
        <v>478</v>
      </c>
    </row>
    <row r="22" spans="1:10" ht="15.75" customHeight="1" x14ac:dyDescent="0.15">
      <c r="A22" s="5" t="s">
        <v>12</v>
      </c>
      <c r="B22" s="5">
        <v>2</v>
      </c>
      <c r="D22" s="5" t="s">
        <v>474</v>
      </c>
      <c r="E22" s="5" t="s">
        <v>475</v>
      </c>
      <c r="H22" s="5" t="s">
        <v>207</v>
      </c>
    </row>
    <row r="23" spans="1:10" ht="15.75" customHeight="1" x14ac:dyDescent="0.15">
      <c r="A23" s="5" t="s">
        <v>12</v>
      </c>
      <c r="B23" s="5">
        <v>3</v>
      </c>
      <c r="D23" s="5" t="s">
        <v>112</v>
      </c>
      <c r="E23" s="5" t="s">
        <v>476</v>
      </c>
      <c r="H23" s="5" t="s">
        <v>207</v>
      </c>
    </row>
    <row r="24" spans="1:10" x14ac:dyDescent="0.15">
      <c r="A24" s="5" t="s">
        <v>12</v>
      </c>
      <c r="B24" s="5">
        <v>4</v>
      </c>
      <c r="D24" s="5" t="s">
        <v>145</v>
      </c>
      <c r="E24" s="5" t="s">
        <v>283</v>
      </c>
      <c r="H24" s="5" t="s">
        <v>259</v>
      </c>
    </row>
    <row r="25" spans="1:10" x14ac:dyDescent="0.15">
      <c r="A25" s="5" t="s">
        <v>12</v>
      </c>
      <c r="B25" s="5">
        <v>5</v>
      </c>
      <c r="D25" s="5" t="s">
        <v>23</v>
      </c>
      <c r="E25" s="5" t="s">
        <v>284</v>
      </c>
      <c r="H25" s="5" t="s">
        <v>277</v>
      </c>
    </row>
    <row r="26" spans="1:10" x14ac:dyDescent="0.15">
      <c r="A26" s="5" t="s">
        <v>12</v>
      </c>
      <c r="B26" s="5">
        <v>6</v>
      </c>
      <c r="D26" s="5" t="s">
        <v>146</v>
      </c>
      <c r="E26" s="5" t="s">
        <v>282</v>
      </c>
      <c r="H26" s="5" t="s">
        <v>206</v>
      </c>
    </row>
    <row r="27" spans="1:10" x14ac:dyDescent="0.15">
      <c r="A27" s="5" t="s">
        <v>12</v>
      </c>
      <c r="B27" s="5">
        <v>7</v>
      </c>
      <c r="D27" s="5" t="s">
        <v>142</v>
      </c>
      <c r="E27" s="5" t="s">
        <v>285</v>
      </c>
      <c r="H27" s="5" t="s">
        <v>207</v>
      </c>
      <c r="J27" s="5" t="s">
        <v>286</v>
      </c>
    </row>
    <row r="28" spans="1:10" x14ac:dyDescent="0.15">
      <c r="A28" s="5" t="s">
        <v>12</v>
      </c>
      <c r="B28" s="5">
        <v>8</v>
      </c>
      <c r="D28" s="5" t="s">
        <v>287</v>
      </c>
      <c r="E28" s="5" t="s">
        <v>288</v>
      </c>
      <c r="H28" s="5" t="s">
        <v>289</v>
      </c>
      <c r="J28" s="5" t="s">
        <v>286</v>
      </c>
    </row>
    <row r="29" spans="1:10" x14ac:dyDescent="0.15">
      <c r="A29" s="5" t="s">
        <v>12</v>
      </c>
      <c r="B29" s="5">
        <v>9</v>
      </c>
      <c r="D29" s="5" t="s">
        <v>141</v>
      </c>
      <c r="E29" s="5" t="s">
        <v>290</v>
      </c>
      <c r="J29" s="5" t="s">
        <v>286</v>
      </c>
    </row>
    <row r="34" spans="2:3" x14ac:dyDescent="0.15">
      <c r="B34" s="26"/>
      <c r="C34" s="26"/>
    </row>
    <row r="35" spans="2:3" x14ac:dyDescent="0.15">
      <c r="B35" s="27"/>
      <c r="C35" s="27"/>
    </row>
    <row r="36" spans="2:3" x14ac:dyDescent="0.15">
      <c r="B36" s="27"/>
      <c r="C36" s="27"/>
    </row>
    <row r="37" spans="2:3" x14ac:dyDescent="0.15">
      <c r="B37" s="27"/>
      <c r="C37" s="27"/>
    </row>
    <row r="38" spans="2:3" x14ac:dyDescent="0.15">
      <c r="B38" s="27"/>
      <c r="C38" s="27"/>
    </row>
    <row r="39" spans="2:3" x14ac:dyDescent="0.15">
      <c r="B39" s="27"/>
      <c r="C39" s="27"/>
    </row>
    <row r="40" spans="2:3" x14ac:dyDescent="0.15">
      <c r="B40" s="28"/>
      <c r="C40" s="28"/>
    </row>
    <row r="41" spans="2:3" x14ac:dyDescent="0.15">
      <c r="B41" s="26"/>
      <c r="C41" s="26"/>
    </row>
    <row r="42" spans="2:3" x14ac:dyDescent="0.15">
      <c r="B42" s="27"/>
      <c r="C42" s="27"/>
    </row>
    <row r="43" spans="2:3" x14ac:dyDescent="0.15">
      <c r="B43" s="27"/>
      <c r="C43" s="27"/>
    </row>
    <row r="44" spans="2:3" x14ac:dyDescent="0.15">
      <c r="B44" s="27"/>
      <c r="C44" s="27"/>
    </row>
    <row r="45" spans="2:3" x14ac:dyDescent="0.15">
      <c r="B45" s="27"/>
      <c r="C45" s="27"/>
    </row>
    <row r="46" spans="2:3" x14ac:dyDescent="0.15">
      <c r="B46" s="27"/>
      <c r="C46" s="27"/>
    </row>
    <row r="47" spans="2:3" x14ac:dyDescent="0.15">
      <c r="B47" s="28"/>
      <c r="C47" s="28"/>
    </row>
    <row r="48" spans="2:3" x14ac:dyDescent="0.15">
      <c r="B48" s="26"/>
      <c r="C48" s="26"/>
    </row>
    <row r="49" spans="2:3" x14ac:dyDescent="0.15">
      <c r="B49" s="27"/>
      <c r="C49" s="27"/>
    </row>
    <row r="50" spans="2:3" x14ac:dyDescent="0.15">
      <c r="B50" s="27"/>
      <c r="C50" s="27"/>
    </row>
    <row r="51" spans="2:3" x14ac:dyDescent="0.15">
      <c r="B51" s="27"/>
      <c r="C51" s="27"/>
    </row>
    <row r="52" spans="2:3" x14ac:dyDescent="0.15">
      <c r="B52" s="27"/>
      <c r="C52" s="27"/>
    </row>
    <row r="53" spans="2:3" x14ac:dyDescent="0.15">
      <c r="B53" s="27"/>
      <c r="C53" s="27"/>
    </row>
    <row r="54" spans="2:3" x14ac:dyDescent="0.15">
      <c r="B54" s="28"/>
      <c r="C54" s="28"/>
    </row>
    <row r="55" spans="2:3" x14ac:dyDescent="0.15">
      <c r="B55" s="26"/>
      <c r="C55" s="26"/>
    </row>
    <row r="56" spans="2:3" ht="15" x14ac:dyDescent="0.15">
      <c r="B56" s="29"/>
      <c r="C56" s="29"/>
    </row>
    <row r="57" spans="2:3" ht="15" x14ac:dyDescent="0.15">
      <c r="B57" s="29"/>
      <c r="C57" s="29"/>
    </row>
    <row r="58" spans="2:3" ht="15" x14ac:dyDescent="0.15">
      <c r="B58" s="29"/>
      <c r="C58" s="29"/>
    </row>
    <row r="59" spans="2:3" ht="15" x14ac:dyDescent="0.15">
      <c r="B59" s="29"/>
      <c r="C59" s="29"/>
    </row>
    <row r="60" spans="2:3" x14ac:dyDescent="0.15">
      <c r="B60" s="30"/>
      <c r="C60" s="30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O21"/>
  <sheetViews>
    <sheetView workbookViewId="0">
      <selection activeCell="H26" sqref="H26"/>
    </sheetView>
  </sheetViews>
  <sheetFormatPr baseColWidth="10" defaultColWidth="8.83203125" defaultRowHeight="14" x14ac:dyDescent="0.15"/>
  <cols>
    <col min="1" max="12" width="8.83203125" style="6"/>
    <col min="13" max="13" width="7" style="6" customWidth="1"/>
    <col min="14" max="16384" width="8.83203125" style="6"/>
  </cols>
  <sheetData>
    <row r="1" spans="1:15" x14ac:dyDescent="0.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</row>
    <row r="2" spans="1:15" x14ac:dyDescent="0.15">
      <c r="A2" s="6" t="s">
        <v>1</v>
      </c>
      <c r="B2" s="6" t="s">
        <v>25</v>
      </c>
      <c r="C2" s="6" t="s">
        <v>26</v>
      </c>
      <c r="D2" s="6" t="s">
        <v>27</v>
      </c>
      <c r="E2" s="6" t="s">
        <v>28</v>
      </c>
      <c r="F2" s="6" t="s">
        <v>29</v>
      </c>
      <c r="G2" s="6" t="s">
        <v>30</v>
      </c>
      <c r="H2" s="6" t="s">
        <v>147</v>
      </c>
      <c r="I2" s="6" t="s">
        <v>148</v>
      </c>
      <c r="J2" s="6" t="s">
        <v>10</v>
      </c>
      <c r="K2" s="6" t="s">
        <v>11</v>
      </c>
      <c r="L2" s="6" t="s">
        <v>149</v>
      </c>
    </row>
    <row r="3" spans="1:15" s="21" customFormat="1" x14ac:dyDescent="0.15">
      <c r="A3" s="21">
        <v>100</v>
      </c>
      <c r="B3" s="21">
        <v>16.476400000000002</v>
      </c>
      <c r="C3" s="21">
        <v>566.09230000000002</v>
      </c>
      <c r="D3" s="21">
        <v>0.21629999999999999</v>
      </c>
      <c r="E3" s="21">
        <v>3.3649</v>
      </c>
      <c r="F3" s="21">
        <v>11.0764</v>
      </c>
      <c r="G3" s="21">
        <v>1.7600000000000001E-2</v>
      </c>
      <c r="H3" s="21">
        <v>40</v>
      </c>
      <c r="I3" s="21">
        <v>0</v>
      </c>
      <c r="J3" s="21">
        <v>0.45</v>
      </c>
      <c r="K3" s="21">
        <v>15</v>
      </c>
      <c r="L3" s="21">
        <v>1200</v>
      </c>
      <c r="M3" s="21" t="s">
        <v>12</v>
      </c>
      <c r="N3" s="21" t="s">
        <v>514</v>
      </c>
      <c r="O3" s="21" t="s">
        <v>31</v>
      </c>
    </row>
    <row r="4" spans="1:15" s="21" customFormat="1" x14ac:dyDescent="0.15">
      <c r="A4" s="21">
        <v>101</v>
      </c>
      <c r="B4" s="21">
        <v>23.53</v>
      </c>
      <c r="C4" s="21">
        <v>104.4</v>
      </c>
      <c r="D4" s="21">
        <v>8.1199999999999994E-2</v>
      </c>
      <c r="E4" s="21">
        <v>9.44</v>
      </c>
      <c r="F4" s="21">
        <v>18.350000000000001</v>
      </c>
      <c r="G4" s="21">
        <v>8.1000000000000003E-2</v>
      </c>
      <c r="H4" s="21">
        <v>40</v>
      </c>
      <c r="I4" s="21">
        <v>0</v>
      </c>
      <c r="J4" s="21">
        <v>1.08</v>
      </c>
      <c r="K4" s="21">
        <v>69.7</v>
      </c>
      <c r="L4" s="21">
        <v>1000</v>
      </c>
      <c r="M4" s="21" t="s">
        <v>12</v>
      </c>
      <c r="N4" s="21" t="s">
        <v>519</v>
      </c>
      <c r="O4" s="21" t="s">
        <v>520</v>
      </c>
    </row>
    <row r="5" spans="1:15" s="68" customFormat="1" x14ac:dyDescent="0.15">
      <c r="A5" s="68">
        <v>200</v>
      </c>
      <c r="B5" s="68">
        <v>3.5</v>
      </c>
      <c r="C5" s="68">
        <v>200</v>
      </c>
      <c r="D5" s="68">
        <v>0.13</v>
      </c>
      <c r="E5" s="68">
        <v>0.7</v>
      </c>
      <c r="F5" s="68">
        <v>30</v>
      </c>
      <c r="G5" s="68">
        <v>0.05</v>
      </c>
      <c r="H5" s="68">
        <v>55</v>
      </c>
      <c r="I5" s="68">
        <v>-10</v>
      </c>
      <c r="J5" s="68">
        <v>5.56</v>
      </c>
      <c r="K5" s="68">
        <v>0</v>
      </c>
      <c r="L5" s="68">
        <v>1200</v>
      </c>
      <c r="M5" s="68" t="s">
        <v>12</v>
      </c>
      <c r="N5" s="68" t="s">
        <v>523</v>
      </c>
    </row>
    <row r="6" spans="1:15" x14ac:dyDescent="0.15">
      <c r="A6" s="6">
        <v>-9</v>
      </c>
    </row>
    <row r="7" spans="1:15" x14ac:dyDescent="0.15">
      <c r="A7" s="6">
        <v>-9</v>
      </c>
    </row>
    <row r="9" spans="1:15" x14ac:dyDescent="0.15">
      <c r="A9" s="6" t="s">
        <v>12</v>
      </c>
      <c r="C9" s="6" t="s">
        <v>350</v>
      </c>
    </row>
    <row r="10" spans="1:15" x14ac:dyDescent="0.15">
      <c r="A10" s="6" t="s">
        <v>12</v>
      </c>
      <c r="B10" s="6">
        <v>1</v>
      </c>
      <c r="C10" s="6" t="s">
        <v>1</v>
      </c>
      <c r="D10" s="6" t="s">
        <v>219</v>
      </c>
      <c r="I10" s="6" t="s">
        <v>482</v>
      </c>
    </row>
    <row r="11" spans="1:15" x14ac:dyDescent="0.15">
      <c r="A11" s="6" t="s">
        <v>12</v>
      </c>
      <c r="B11" s="6">
        <v>2</v>
      </c>
      <c r="C11" s="6" t="s">
        <v>25</v>
      </c>
      <c r="D11" s="6" t="s">
        <v>358</v>
      </c>
      <c r="G11" s="6" t="s">
        <v>259</v>
      </c>
    </row>
    <row r="12" spans="1:15" x14ac:dyDescent="0.15">
      <c r="A12" s="6" t="s">
        <v>12</v>
      </c>
      <c r="B12" s="6">
        <v>3</v>
      </c>
      <c r="C12" s="6" t="s">
        <v>26</v>
      </c>
      <c r="D12" s="6" t="s">
        <v>352</v>
      </c>
      <c r="G12" s="6" t="s">
        <v>337</v>
      </c>
    </row>
    <row r="13" spans="1:15" x14ac:dyDescent="0.15">
      <c r="A13" s="6" t="s">
        <v>12</v>
      </c>
      <c r="B13" s="6">
        <v>4</v>
      </c>
      <c r="C13" s="6" t="s">
        <v>27</v>
      </c>
      <c r="D13" s="6" t="s">
        <v>353</v>
      </c>
      <c r="G13" s="6" t="s">
        <v>354</v>
      </c>
    </row>
    <row r="14" spans="1:15" x14ac:dyDescent="0.15">
      <c r="A14" s="6" t="s">
        <v>12</v>
      </c>
      <c r="B14" s="6">
        <v>5</v>
      </c>
      <c r="C14" s="6" t="s">
        <v>28</v>
      </c>
      <c r="D14" s="6" t="s">
        <v>353</v>
      </c>
      <c r="G14" s="6" t="s">
        <v>355</v>
      </c>
    </row>
    <row r="15" spans="1:15" x14ac:dyDescent="0.15">
      <c r="A15" s="6" t="s">
        <v>12</v>
      </c>
      <c r="B15" s="6">
        <v>6</v>
      </c>
      <c r="C15" s="6" t="s">
        <v>29</v>
      </c>
      <c r="D15" s="6" t="s">
        <v>356</v>
      </c>
      <c r="G15" s="6" t="s">
        <v>252</v>
      </c>
    </row>
    <row r="16" spans="1:15" x14ac:dyDescent="0.15">
      <c r="A16" s="6" t="s">
        <v>12</v>
      </c>
      <c r="B16" s="6">
        <v>7</v>
      </c>
      <c r="C16" s="6" t="s">
        <v>30</v>
      </c>
      <c r="D16" s="6" t="s">
        <v>351</v>
      </c>
      <c r="G16" s="6" t="s">
        <v>357</v>
      </c>
    </row>
    <row r="17" spans="1:7" x14ac:dyDescent="0.15">
      <c r="A17" s="6" t="s">
        <v>12</v>
      </c>
      <c r="B17" s="6">
        <v>8</v>
      </c>
      <c r="C17" s="6" t="s">
        <v>147</v>
      </c>
      <c r="D17" s="6" t="s">
        <v>451</v>
      </c>
      <c r="G17" s="6" t="s">
        <v>252</v>
      </c>
    </row>
    <row r="18" spans="1:7" x14ac:dyDescent="0.15">
      <c r="A18" s="6" t="s">
        <v>12</v>
      </c>
      <c r="B18" s="6">
        <v>9</v>
      </c>
      <c r="C18" s="6" t="s">
        <v>148</v>
      </c>
      <c r="D18" s="6" t="s">
        <v>452</v>
      </c>
      <c r="G18" s="6" t="s">
        <v>252</v>
      </c>
    </row>
    <row r="19" spans="1:7" x14ac:dyDescent="0.15">
      <c r="A19" s="6" t="s">
        <v>12</v>
      </c>
      <c r="B19" s="6">
        <v>10</v>
      </c>
      <c r="C19" s="6" t="s">
        <v>10</v>
      </c>
      <c r="D19" s="6" t="s">
        <v>351</v>
      </c>
      <c r="G19" s="6" t="s">
        <v>348</v>
      </c>
    </row>
    <row r="20" spans="1:7" x14ac:dyDescent="0.15">
      <c r="A20" s="6" t="s">
        <v>12</v>
      </c>
      <c r="B20" s="6">
        <v>11</v>
      </c>
      <c r="C20" s="6" t="s">
        <v>11</v>
      </c>
      <c r="D20" s="6" t="s">
        <v>351</v>
      </c>
      <c r="G20" s="6" t="s">
        <v>207</v>
      </c>
    </row>
    <row r="21" spans="1:7" x14ac:dyDescent="0.15">
      <c r="A21" s="6" t="s">
        <v>12</v>
      </c>
      <c r="B21" s="6">
        <v>12</v>
      </c>
      <c r="C21" s="6" t="s">
        <v>149</v>
      </c>
      <c r="D21" s="6" t="s">
        <v>349</v>
      </c>
      <c r="G21" s="6" t="s">
        <v>337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N32"/>
  <sheetViews>
    <sheetView workbookViewId="0">
      <selection activeCell="B9" sqref="B9"/>
    </sheetView>
  </sheetViews>
  <sheetFormatPr baseColWidth="10" defaultColWidth="13.1640625" defaultRowHeight="14" x14ac:dyDescent="0.15"/>
  <cols>
    <col min="1" max="1" width="9.1640625" style="31" customWidth="1"/>
    <col min="2" max="11" width="13.1640625" style="31"/>
    <col min="12" max="12" width="2.33203125" style="31" customWidth="1"/>
    <col min="13" max="16384" width="13.1640625" style="31"/>
  </cols>
  <sheetData>
    <row r="1" spans="1:14" x14ac:dyDescent="0.15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</row>
    <row r="2" spans="1:14" x14ac:dyDescent="0.15">
      <c r="A2" s="31" t="s">
        <v>1</v>
      </c>
      <c r="B2" s="31" t="s">
        <v>37</v>
      </c>
      <c r="C2" s="31" t="s">
        <v>157</v>
      </c>
      <c r="D2" s="31" t="s">
        <v>158</v>
      </c>
      <c r="E2" s="31" t="s">
        <v>159</v>
      </c>
      <c r="F2" s="31" t="s">
        <v>160</v>
      </c>
      <c r="G2" s="31" t="s">
        <v>161</v>
      </c>
      <c r="H2" s="31" t="s">
        <v>162</v>
      </c>
      <c r="I2" s="31" t="s">
        <v>154</v>
      </c>
      <c r="J2" s="31" t="s">
        <v>155</v>
      </c>
      <c r="K2" s="31" t="s">
        <v>156</v>
      </c>
    </row>
    <row r="3" spans="1:14" x14ac:dyDescent="0.15">
      <c r="A3" s="31">
        <v>10</v>
      </c>
      <c r="B3" s="31">
        <v>18.2</v>
      </c>
      <c r="C3" s="31">
        <v>0.1</v>
      </c>
      <c r="D3" s="31">
        <v>9.8600000000000007E-3</v>
      </c>
      <c r="E3" s="31">
        <v>1.0200000000000001E-2</v>
      </c>
      <c r="F3" s="31">
        <v>0.1</v>
      </c>
      <c r="G3" s="31">
        <v>9.8600000000000007E-3</v>
      </c>
      <c r="H3" s="31">
        <v>1.0200000000000001E-2</v>
      </c>
      <c r="I3" s="31">
        <v>15</v>
      </c>
      <c r="J3" s="31">
        <v>2.7</v>
      </c>
      <c r="K3" s="31">
        <v>7</v>
      </c>
      <c r="L3" s="31" t="s">
        <v>12</v>
      </c>
      <c r="M3" s="31" t="s">
        <v>21</v>
      </c>
      <c r="N3" s="31" t="s">
        <v>81</v>
      </c>
    </row>
    <row r="4" spans="1:14" x14ac:dyDescent="0.15">
      <c r="A4" s="31">
        <v>11</v>
      </c>
      <c r="B4" s="31">
        <v>18.2</v>
      </c>
      <c r="C4" s="31">
        <v>0.30809999999999998</v>
      </c>
      <c r="D4" s="32">
        <v>9.9000000000000008E-3</v>
      </c>
      <c r="E4" s="33">
        <v>1.0200000000000001E-2</v>
      </c>
      <c r="F4" s="32">
        <v>0.30809999999999998</v>
      </c>
      <c r="G4" s="32">
        <v>9.9000000000000008E-3</v>
      </c>
      <c r="H4" s="33">
        <v>1.0200000000000001E-2</v>
      </c>
      <c r="I4" s="32">
        <v>-999</v>
      </c>
      <c r="J4" s="32">
        <v>-999</v>
      </c>
      <c r="K4" s="32">
        <v>-999</v>
      </c>
      <c r="L4" s="31" t="s">
        <v>12</v>
      </c>
      <c r="M4" s="31" t="s">
        <v>82</v>
      </c>
    </row>
    <row r="5" spans="1:14" s="34" customFormat="1" x14ac:dyDescent="0.15">
      <c r="A5" s="34">
        <v>551</v>
      </c>
      <c r="B5" s="34">
        <v>18.2</v>
      </c>
      <c r="C5" s="35">
        <v>0.30813570000000001</v>
      </c>
      <c r="D5" s="36">
        <v>9.8630999999999996E-3</v>
      </c>
      <c r="E5" s="37">
        <v>1.01826E-2</v>
      </c>
      <c r="F5" s="36">
        <v>0.30813570000000001</v>
      </c>
      <c r="G5" s="36">
        <v>9.8630999999999996E-3</v>
      </c>
      <c r="H5" s="37">
        <v>1.01826E-2</v>
      </c>
      <c r="I5" s="38">
        <v>-999</v>
      </c>
      <c r="J5" s="38">
        <v>-999</v>
      </c>
      <c r="K5" s="38">
        <v>-999</v>
      </c>
      <c r="L5" s="34" t="s">
        <v>12</v>
      </c>
      <c r="M5" s="34" t="s">
        <v>359</v>
      </c>
      <c r="N5" s="34" t="s">
        <v>360</v>
      </c>
    </row>
    <row r="6" spans="1:14" s="39" customFormat="1" x14ac:dyDescent="0.15">
      <c r="A6" s="39">
        <v>661</v>
      </c>
      <c r="B6" s="39">
        <v>18.2</v>
      </c>
      <c r="C6" s="40">
        <v>0.30813570000000001</v>
      </c>
      <c r="D6" s="41">
        <v>9.8630999999999996E-3</v>
      </c>
      <c r="E6" s="42">
        <v>1.01826E-2</v>
      </c>
      <c r="F6" s="41">
        <v>0.30813570000000001</v>
      </c>
      <c r="G6" s="41">
        <v>9.8630999999999996E-3</v>
      </c>
      <c r="H6" s="42">
        <v>1.01826E-2</v>
      </c>
      <c r="I6" s="43">
        <v>-999</v>
      </c>
      <c r="J6" s="43">
        <v>-999</v>
      </c>
      <c r="K6" s="43">
        <v>-999</v>
      </c>
      <c r="L6" s="39" t="s">
        <v>12</v>
      </c>
      <c r="M6" s="39" t="s">
        <v>512</v>
      </c>
    </row>
    <row r="7" spans="1:14" s="77" customFormat="1" x14ac:dyDescent="0.15">
      <c r="A7" s="77">
        <v>33661</v>
      </c>
      <c r="B7" s="77">
        <v>18.2</v>
      </c>
      <c r="C7" s="78">
        <v>0.30813570000000001</v>
      </c>
      <c r="D7" s="79">
        <v>9.8630999999999996E-3</v>
      </c>
      <c r="E7" s="80">
        <v>1.01826E-2</v>
      </c>
      <c r="F7" s="79">
        <v>0.30813570000000001</v>
      </c>
      <c r="G7" s="79">
        <v>9.8630999999999996E-3</v>
      </c>
      <c r="H7" s="80">
        <v>1.01826E-2</v>
      </c>
      <c r="I7" s="81">
        <v>-999</v>
      </c>
      <c r="J7" s="81">
        <v>-999</v>
      </c>
      <c r="K7" s="81">
        <v>-999</v>
      </c>
      <c r="L7" s="77" t="s">
        <v>12</v>
      </c>
      <c r="M7" s="77" t="s">
        <v>562</v>
      </c>
    </row>
    <row r="8" spans="1:14" x14ac:dyDescent="0.15">
      <c r="A8" s="31">
        <v>-9</v>
      </c>
    </row>
    <row r="9" spans="1:14" x14ac:dyDescent="0.15">
      <c r="A9" s="31">
        <v>-9</v>
      </c>
    </row>
    <row r="13" spans="1:14" s="44" customFormat="1" x14ac:dyDescent="0.15">
      <c r="A13" s="44" t="s">
        <v>12</v>
      </c>
      <c r="B13" s="44">
        <v>1</v>
      </c>
      <c r="C13" s="44" t="s">
        <v>1</v>
      </c>
      <c r="D13" s="44" t="s">
        <v>326</v>
      </c>
    </row>
    <row r="14" spans="1:14" s="44" customFormat="1" x14ac:dyDescent="0.15">
      <c r="A14" s="44" t="s">
        <v>12</v>
      </c>
      <c r="B14" s="44">
        <v>2</v>
      </c>
      <c r="C14" s="31" t="s">
        <v>37</v>
      </c>
      <c r="D14" s="45" t="s">
        <v>328</v>
      </c>
      <c r="G14" s="44" t="s">
        <v>252</v>
      </c>
      <c r="H14" s="45"/>
      <c r="I14" s="45"/>
    </row>
    <row r="15" spans="1:14" s="44" customFormat="1" x14ac:dyDescent="0.15">
      <c r="A15" s="44" t="s">
        <v>12</v>
      </c>
      <c r="B15" s="44">
        <v>3</v>
      </c>
      <c r="C15" s="44" t="s">
        <v>157</v>
      </c>
      <c r="D15" s="44" t="s">
        <v>331</v>
      </c>
      <c r="G15" s="44" t="s">
        <v>329</v>
      </c>
      <c r="H15" s="45"/>
      <c r="I15" s="45" t="s">
        <v>342</v>
      </c>
    </row>
    <row r="16" spans="1:14" s="44" customFormat="1" x14ac:dyDescent="0.15">
      <c r="A16" s="44" t="s">
        <v>12</v>
      </c>
      <c r="B16" s="44">
        <v>4</v>
      </c>
      <c r="C16" s="44" t="s">
        <v>158</v>
      </c>
      <c r="D16" s="44" t="s">
        <v>333</v>
      </c>
      <c r="G16" s="44" t="s">
        <v>330</v>
      </c>
      <c r="I16" s="45" t="s">
        <v>342</v>
      </c>
    </row>
    <row r="17" spans="1:9" s="44" customFormat="1" x14ac:dyDescent="0.15">
      <c r="A17" s="44" t="s">
        <v>12</v>
      </c>
      <c r="B17" s="44">
        <v>5</v>
      </c>
      <c r="C17" s="44" t="s">
        <v>159</v>
      </c>
      <c r="D17" s="44" t="s">
        <v>334</v>
      </c>
      <c r="G17" s="44" t="s">
        <v>330</v>
      </c>
      <c r="H17" s="46"/>
      <c r="I17" s="45" t="s">
        <v>342</v>
      </c>
    </row>
    <row r="18" spans="1:9" s="44" customFormat="1" x14ac:dyDescent="0.15">
      <c r="A18" s="44" t="s">
        <v>12</v>
      </c>
      <c r="B18" s="44">
        <v>6</v>
      </c>
      <c r="C18" s="44" t="s">
        <v>160</v>
      </c>
      <c r="D18" s="44" t="s">
        <v>332</v>
      </c>
      <c r="G18" s="44" t="s">
        <v>329</v>
      </c>
      <c r="I18" s="45" t="s">
        <v>342</v>
      </c>
    </row>
    <row r="19" spans="1:9" s="44" customFormat="1" x14ac:dyDescent="0.15">
      <c r="A19" s="44" t="s">
        <v>12</v>
      </c>
      <c r="B19" s="44">
        <v>7</v>
      </c>
      <c r="C19" s="44" t="s">
        <v>161</v>
      </c>
      <c r="D19" s="44" t="s">
        <v>335</v>
      </c>
      <c r="G19" s="44" t="s">
        <v>330</v>
      </c>
      <c r="H19" s="46"/>
      <c r="I19" s="45" t="s">
        <v>342</v>
      </c>
    </row>
    <row r="20" spans="1:9" s="44" customFormat="1" x14ac:dyDescent="0.15">
      <c r="A20" s="44" t="s">
        <v>12</v>
      </c>
      <c r="B20" s="44">
        <v>8</v>
      </c>
      <c r="C20" s="44" t="s">
        <v>162</v>
      </c>
      <c r="D20" s="44" t="s">
        <v>336</v>
      </c>
      <c r="G20" s="44" t="s">
        <v>330</v>
      </c>
      <c r="H20" s="45"/>
      <c r="I20" s="45" t="s">
        <v>342</v>
      </c>
    </row>
    <row r="21" spans="1:9" s="44" customFormat="1" x14ac:dyDescent="0.15">
      <c r="A21" s="44" t="s">
        <v>12</v>
      </c>
      <c r="B21" s="44">
        <v>9</v>
      </c>
      <c r="C21" s="44" t="s">
        <v>154</v>
      </c>
      <c r="D21" s="46" t="s">
        <v>339</v>
      </c>
      <c r="G21" s="44" t="s">
        <v>337</v>
      </c>
      <c r="H21" s="45"/>
      <c r="I21" s="45" t="s">
        <v>343</v>
      </c>
    </row>
    <row r="22" spans="1:9" s="44" customFormat="1" x14ac:dyDescent="0.15">
      <c r="A22" s="44" t="s">
        <v>12</v>
      </c>
      <c r="B22" s="44">
        <v>10</v>
      </c>
      <c r="C22" s="44" t="s">
        <v>155</v>
      </c>
      <c r="D22" s="46" t="s">
        <v>340</v>
      </c>
      <c r="G22" s="44" t="s">
        <v>338</v>
      </c>
      <c r="I22" s="45" t="s">
        <v>343</v>
      </c>
    </row>
    <row r="23" spans="1:9" s="44" customFormat="1" x14ac:dyDescent="0.15">
      <c r="A23" s="44" t="s">
        <v>12</v>
      </c>
      <c r="B23" s="44">
        <v>11</v>
      </c>
      <c r="C23" s="44" t="s">
        <v>156</v>
      </c>
      <c r="D23" s="45" t="s">
        <v>341</v>
      </c>
      <c r="G23" s="44" t="s">
        <v>252</v>
      </c>
      <c r="H23" s="46"/>
      <c r="I23" s="45" t="s">
        <v>343</v>
      </c>
    </row>
    <row r="24" spans="1:9" s="44" customFormat="1" x14ac:dyDescent="0.15">
      <c r="I24" s="45"/>
    </row>
    <row r="25" spans="1:9" s="44" customFormat="1" x14ac:dyDescent="0.15">
      <c r="H25" s="46"/>
      <c r="I25" s="45"/>
    </row>
    <row r="26" spans="1:9" s="44" customFormat="1" x14ac:dyDescent="0.15">
      <c r="H26" s="45"/>
      <c r="I26" s="47"/>
    </row>
    <row r="27" spans="1:9" s="44" customFormat="1" x14ac:dyDescent="0.15">
      <c r="H27" s="45"/>
      <c r="I27" s="47"/>
    </row>
    <row r="28" spans="1:9" s="44" customFormat="1" x14ac:dyDescent="0.15">
      <c r="H28" s="45"/>
      <c r="I28" s="47"/>
    </row>
    <row r="29" spans="1:9" s="44" customFormat="1" x14ac:dyDescent="0.15"/>
    <row r="30" spans="1:9" s="44" customFormat="1" x14ac:dyDescent="0.15"/>
    <row r="31" spans="1:9" s="44" customFormat="1" x14ac:dyDescent="0.15"/>
    <row r="32" spans="1:9" s="44" customFormat="1" x14ac:dyDescent="0.15"/>
  </sheetData>
  <phoneticPr fontId="19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B35"/>
  <sheetViews>
    <sheetView workbookViewId="0">
      <selection activeCell="B7" sqref="B7"/>
    </sheetView>
  </sheetViews>
  <sheetFormatPr baseColWidth="10" defaultColWidth="8.83203125" defaultRowHeight="14" x14ac:dyDescent="0.15"/>
  <cols>
    <col min="1" max="3" width="8.83203125" style="12"/>
    <col min="4" max="4" width="15.1640625" style="12" customWidth="1"/>
    <col min="5" max="11" width="6" style="12" customWidth="1"/>
    <col min="12" max="18" width="8.83203125" style="12"/>
    <col min="19" max="25" width="11.83203125" style="12" customWidth="1"/>
    <col min="26" max="26" width="2.5" style="12" customWidth="1"/>
    <col min="27" max="16384" width="8.83203125" style="12"/>
  </cols>
  <sheetData>
    <row r="1" spans="1:28" x14ac:dyDescent="0.15">
      <c r="A1" s="12">
        <v>1</v>
      </c>
      <c r="B1" s="12">
        <v>2</v>
      </c>
      <c r="C1" s="12">
        <v>3</v>
      </c>
      <c r="D1" s="12">
        <v>4</v>
      </c>
      <c r="E1" s="12">
        <v>5</v>
      </c>
      <c r="F1" s="12">
        <v>6</v>
      </c>
      <c r="G1" s="12">
        <v>7</v>
      </c>
      <c r="H1" s="12">
        <v>8</v>
      </c>
      <c r="I1" s="12">
        <v>9</v>
      </c>
      <c r="J1" s="12">
        <v>10</v>
      </c>
      <c r="K1" s="12">
        <v>11</v>
      </c>
      <c r="L1" s="12">
        <v>12</v>
      </c>
      <c r="M1" s="12">
        <v>13</v>
      </c>
      <c r="N1" s="12">
        <v>14</v>
      </c>
      <c r="O1" s="12">
        <v>15</v>
      </c>
      <c r="P1" s="12">
        <v>16</v>
      </c>
      <c r="Q1" s="12">
        <v>17</v>
      </c>
      <c r="R1" s="12">
        <v>18</v>
      </c>
      <c r="S1" s="12">
        <v>19</v>
      </c>
      <c r="T1" s="12">
        <v>20</v>
      </c>
      <c r="U1" s="12">
        <v>21</v>
      </c>
      <c r="V1" s="12">
        <v>22</v>
      </c>
      <c r="W1" s="12">
        <v>23</v>
      </c>
      <c r="X1" s="12">
        <v>24</v>
      </c>
      <c r="Y1" s="12">
        <v>25</v>
      </c>
    </row>
    <row r="2" spans="1:28" x14ac:dyDescent="0.15">
      <c r="A2" s="12" t="s">
        <v>1</v>
      </c>
      <c r="B2" s="12" t="s">
        <v>43</v>
      </c>
      <c r="C2" s="12" t="s">
        <v>44</v>
      </c>
      <c r="D2" s="12" t="s">
        <v>45</v>
      </c>
      <c r="E2" s="12" t="s">
        <v>46</v>
      </c>
      <c r="F2" s="12" t="s">
        <v>163</v>
      </c>
      <c r="G2" s="12" t="s">
        <v>164</v>
      </c>
      <c r="H2" s="12" t="s">
        <v>165</v>
      </c>
      <c r="I2" s="12" t="s">
        <v>166</v>
      </c>
      <c r="J2" s="12" t="s">
        <v>167</v>
      </c>
      <c r="K2" s="12" t="s">
        <v>168</v>
      </c>
      <c r="L2" s="12" t="s">
        <v>47</v>
      </c>
      <c r="M2" s="12" t="s">
        <v>48</v>
      </c>
      <c r="N2" s="12" t="s">
        <v>49</v>
      </c>
      <c r="O2" s="12" t="s">
        <v>50</v>
      </c>
      <c r="P2" s="12" t="s">
        <v>51</v>
      </c>
      <c r="Q2" s="12" t="s">
        <v>52</v>
      </c>
      <c r="R2" s="12" t="s">
        <v>53</v>
      </c>
      <c r="S2" s="12" t="s">
        <v>54</v>
      </c>
      <c r="T2" s="12" t="s">
        <v>55</v>
      </c>
      <c r="U2" s="12" t="s">
        <v>56</v>
      </c>
      <c r="V2" s="12" t="s">
        <v>57</v>
      </c>
      <c r="W2" s="12" t="s">
        <v>58</v>
      </c>
      <c r="X2" s="12" t="s">
        <v>59</v>
      </c>
      <c r="Y2" s="12" t="s">
        <v>60</v>
      </c>
    </row>
    <row r="3" spans="1:28" x14ac:dyDescent="0.15">
      <c r="A3" s="12">
        <v>1</v>
      </c>
      <c r="B3" s="12">
        <v>152</v>
      </c>
      <c r="C3" s="12">
        <v>243</v>
      </c>
      <c r="D3" s="12">
        <v>0</v>
      </c>
      <c r="E3" s="12">
        <v>0.2</v>
      </c>
      <c r="F3" s="12">
        <v>-84.534999999999997</v>
      </c>
      <c r="G3" s="12">
        <v>9.9589999999999996</v>
      </c>
      <c r="H3" s="12">
        <v>3.6739999999999999</v>
      </c>
      <c r="I3" s="12">
        <v>-25.36</v>
      </c>
      <c r="J3" s="12">
        <v>2.988</v>
      </c>
      <c r="K3" s="12">
        <v>1.1020000000000001</v>
      </c>
      <c r="L3" s="12">
        <v>1</v>
      </c>
      <c r="M3" s="12">
        <v>1</v>
      </c>
      <c r="N3" s="12">
        <v>1</v>
      </c>
      <c r="O3" s="12">
        <v>1</v>
      </c>
      <c r="P3" s="12">
        <v>1</v>
      </c>
      <c r="Q3" s="12">
        <v>1</v>
      </c>
      <c r="R3" s="12">
        <v>1</v>
      </c>
      <c r="S3" s="12">
        <v>1</v>
      </c>
      <c r="T3" s="12">
        <v>1</v>
      </c>
      <c r="U3" s="12">
        <v>1</v>
      </c>
      <c r="V3" s="12">
        <v>1</v>
      </c>
      <c r="W3" s="12">
        <v>1</v>
      </c>
      <c r="X3" s="12">
        <v>1</v>
      </c>
      <c r="Y3" s="12">
        <v>1</v>
      </c>
    </row>
    <row r="4" spans="1:28" s="48" customFormat="1" x14ac:dyDescent="0.15">
      <c r="A4" s="48">
        <v>550</v>
      </c>
      <c r="B4" s="48">
        <v>1</v>
      </c>
      <c r="C4" s="48">
        <v>366</v>
      </c>
      <c r="D4" s="48">
        <v>0</v>
      </c>
      <c r="E4" s="48">
        <v>0</v>
      </c>
      <c r="F4" s="48">
        <v>0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 t="s">
        <v>12</v>
      </c>
      <c r="AA4" s="48" t="s">
        <v>359</v>
      </c>
      <c r="AB4" s="48" t="s">
        <v>364</v>
      </c>
    </row>
    <row r="5" spans="1:28" s="49" customFormat="1" x14ac:dyDescent="0.15">
      <c r="A5" s="49">
        <v>660</v>
      </c>
      <c r="B5" s="49">
        <v>1</v>
      </c>
      <c r="C5" s="49">
        <v>366</v>
      </c>
      <c r="D5" s="49">
        <v>0</v>
      </c>
      <c r="E5" s="49">
        <v>0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0</v>
      </c>
      <c r="N5" s="49">
        <v>0</v>
      </c>
      <c r="O5" s="49">
        <v>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 t="s">
        <v>12</v>
      </c>
      <c r="AA5" s="49" t="s">
        <v>512</v>
      </c>
      <c r="AB5" s="49" t="s">
        <v>515</v>
      </c>
    </row>
    <row r="6" spans="1:28" s="82" customFormat="1" x14ac:dyDescent="0.15">
      <c r="A6" s="82">
        <v>99999</v>
      </c>
      <c r="B6" s="82">
        <v>1</v>
      </c>
      <c r="C6" s="82">
        <v>366</v>
      </c>
      <c r="D6" s="82">
        <v>0</v>
      </c>
      <c r="E6" s="82">
        <v>0</v>
      </c>
      <c r="F6" s="82">
        <v>0</v>
      </c>
      <c r="G6" s="82">
        <v>0</v>
      </c>
      <c r="H6" s="82">
        <v>0</v>
      </c>
      <c r="I6" s="82">
        <v>0</v>
      </c>
      <c r="J6" s="82">
        <v>0</v>
      </c>
      <c r="K6" s="82">
        <v>0</v>
      </c>
      <c r="L6" s="82">
        <v>0</v>
      </c>
      <c r="M6" s="82">
        <v>0</v>
      </c>
      <c r="N6" s="82">
        <v>0</v>
      </c>
      <c r="O6" s="82">
        <v>0</v>
      </c>
      <c r="P6" s="82">
        <v>0</v>
      </c>
      <c r="Q6" s="82">
        <v>0</v>
      </c>
      <c r="R6" s="82">
        <v>0</v>
      </c>
      <c r="S6" s="82">
        <v>0</v>
      </c>
      <c r="T6" s="82">
        <v>0</v>
      </c>
      <c r="U6" s="82">
        <v>0</v>
      </c>
      <c r="V6" s="82">
        <v>0</v>
      </c>
      <c r="W6" s="82">
        <v>0</v>
      </c>
      <c r="X6" s="82">
        <v>0</v>
      </c>
      <c r="Y6" s="82">
        <v>0</v>
      </c>
      <c r="Z6" s="82" t="s">
        <v>12</v>
      </c>
      <c r="AA6" s="82" t="s">
        <v>562</v>
      </c>
      <c r="AB6" s="82" t="s">
        <v>515</v>
      </c>
    </row>
    <row r="7" spans="1:28" x14ac:dyDescent="0.15">
      <c r="A7" s="12">
        <v>-9</v>
      </c>
    </row>
    <row r="8" spans="1:28" x14ac:dyDescent="0.15">
      <c r="A8" s="12">
        <v>-9</v>
      </c>
    </row>
    <row r="11" spans="1:28" x14ac:dyDescent="0.15">
      <c r="A11" s="12" t="s">
        <v>12</v>
      </c>
      <c r="B11" s="12">
        <v>1</v>
      </c>
      <c r="C11" s="12" t="s">
        <v>1</v>
      </c>
      <c r="D11" s="12" t="s">
        <v>327</v>
      </c>
      <c r="I11" s="5" t="s">
        <v>311</v>
      </c>
    </row>
    <row r="12" spans="1:28" x14ac:dyDescent="0.15">
      <c r="A12" s="12" t="s">
        <v>12</v>
      </c>
      <c r="B12" s="12">
        <v>2</v>
      </c>
      <c r="C12" s="12" t="s">
        <v>43</v>
      </c>
      <c r="D12" s="12" t="s">
        <v>312</v>
      </c>
      <c r="G12" s="12" t="s">
        <v>187</v>
      </c>
    </row>
    <row r="13" spans="1:28" x14ac:dyDescent="0.15">
      <c r="A13" s="12" t="s">
        <v>12</v>
      </c>
      <c r="B13" s="12">
        <v>3</v>
      </c>
      <c r="C13" s="12" t="s">
        <v>44</v>
      </c>
      <c r="D13" s="12" t="s">
        <v>313</v>
      </c>
      <c r="G13" s="12" t="s">
        <v>187</v>
      </c>
    </row>
    <row r="14" spans="1:28" x14ac:dyDescent="0.15">
      <c r="A14" s="12" t="s">
        <v>12</v>
      </c>
      <c r="B14" s="12">
        <v>4</v>
      </c>
      <c r="C14" s="12" t="s">
        <v>45</v>
      </c>
      <c r="D14" s="12" t="s">
        <v>314</v>
      </c>
      <c r="G14" s="12" t="s">
        <v>206</v>
      </c>
    </row>
    <row r="15" spans="1:28" x14ac:dyDescent="0.15">
      <c r="A15" s="12" t="s">
        <v>12</v>
      </c>
      <c r="B15" s="12">
        <v>5</v>
      </c>
      <c r="C15" s="12" t="s">
        <v>46</v>
      </c>
      <c r="D15" s="12" t="s">
        <v>315</v>
      </c>
    </row>
    <row r="16" spans="1:28" x14ac:dyDescent="0.15">
      <c r="A16" s="12" t="s">
        <v>12</v>
      </c>
      <c r="B16" s="12">
        <v>6</v>
      </c>
      <c r="C16" s="12" t="s">
        <v>163</v>
      </c>
      <c r="D16" s="12" t="s">
        <v>316</v>
      </c>
      <c r="G16" s="12" t="s">
        <v>318</v>
      </c>
    </row>
    <row r="17" spans="1:7" x14ac:dyDescent="0.15">
      <c r="A17" s="12" t="s">
        <v>12</v>
      </c>
      <c r="B17" s="12">
        <v>7</v>
      </c>
      <c r="C17" s="12" t="s">
        <v>164</v>
      </c>
      <c r="D17" s="12" t="s">
        <v>316</v>
      </c>
      <c r="G17" s="12" t="s">
        <v>461</v>
      </c>
    </row>
    <row r="18" spans="1:7" x14ac:dyDescent="0.15">
      <c r="A18" s="12" t="s">
        <v>12</v>
      </c>
      <c r="B18" s="12">
        <v>8</v>
      </c>
      <c r="C18" s="12" t="s">
        <v>165</v>
      </c>
      <c r="D18" s="12" t="s">
        <v>316</v>
      </c>
      <c r="G18" s="12" t="s">
        <v>462</v>
      </c>
    </row>
    <row r="19" spans="1:7" x14ac:dyDescent="0.15">
      <c r="A19" s="12" t="s">
        <v>12</v>
      </c>
      <c r="B19" s="12">
        <v>9</v>
      </c>
      <c r="C19" s="12" t="s">
        <v>166</v>
      </c>
      <c r="D19" s="12" t="s">
        <v>317</v>
      </c>
      <c r="G19" s="12" t="s">
        <v>463</v>
      </c>
    </row>
    <row r="20" spans="1:7" x14ac:dyDescent="0.15">
      <c r="A20" s="12" t="s">
        <v>12</v>
      </c>
      <c r="B20" s="12">
        <v>10</v>
      </c>
      <c r="C20" s="12" t="s">
        <v>167</v>
      </c>
      <c r="D20" s="12" t="s">
        <v>317</v>
      </c>
      <c r="G20" s="12" t="s">
        <v>464</v>
      </c>
    </row>
    <row r="21" spans="1:7" x14ac:dyDescent="0.15">
      <c r="A21" s="12" t="s">
        <v>12</v>
      </c>
      <c r="B21" s="12">
        <v>11</v>
      </c>
      <c r="C21" s="12" t="s">
        <v>168</v>
      </c>
      <c r="D21" s="12" t="s">
        <v>317</v>
      </c>
      <c r="G21" s="12" t="s">
        <v>462</v>
      </c>
    </row>
    <row r="22" spans="1:7" x14ac:dyDescent="0.15">
      <c r="A22" s="12" t="s">
        <v>12</v>
      </c>
      <c r="B22" s="12">
        <v>12</v>
      </c>
      <c r="C22" s="12" t="s">
        <v>47</v>
      </c>
      <c r="D22" s="12" t="s">
        <v>325</v>
      </c>
    </row>
    <row r="23" spans="1:7" x14ac:dyDescent="0.15">
      <c r="A23" s="12" t="s">
        <v>12</v>
      </c>
      <c r="B23" s="12">
        <v>13</v>
      </c>
      <c r="C23" s="12" t="s">
        <v>48</v>
      </c>
      <c r="D23" s="12" t="s">
        <v>319</v>
      </c>
    </row>
    <row r="24" spans="1:7" x14ac:dyDescent="0.15">
      <c r="A24" s="12" t="s">
        <v>12</v>
      </c>
      <c r="B24" s="12">
        <v>14</v>
      </c>
      <c r="C24" s="12" t="s">
        <v>49</v>
      </c>
      <c r="D24" s="12" t="s">
        <v>320</v>
      </c>
    </row>
    <row r="25" spans="1:7" x14ac:dyDescent="0.15">
      <c r="A25" s="12" t="s">
        <v>12</v>
      </c>
      <c r="B25" s="12">
        <v>15</v>
      </c>
      <c r="C25" s="12" t="s">
        <v>50</v>
      </c>
      <c r="D25" s="12" t="s">
        <v>321</v>
      </c>
    </row>
    <row r="26" spans="1:7" x14ac:dyDescent="0.15">
      <c r="A26" s="12" t="s">
        <v>12</v>
      </c>
      <c r="B26" s="12">
        <v>16</v>
      </c>
      <c r="C26" s="12" t="s">
        <v>51</v>
      </c>
      <c r="D26" s="12" t="s">
        <v>322</v>
      </c>
    </row>
    <row r="27" spans="1:7" x14ac:dyDescent="0.15">
      <c r="A27" s="12" t="s">
        <v>12</v>
      </c>
      <c r="B27" s="12">
        <v>17</v>
      </c>
      <c r="C27" s="12" t="s">
        <v>52</v>
      </c>
      <c r="D27" s="12" t="s">
        <v>323</v>
      </c>
    </row>
    <row r="28" spans="1:7" x14ac:dyDescent="0.15">
      <c r="A28" s="12" t="s">
        <v>12</v>
      </c>
      <c r="B28" s="12">
        <v>18</v>
      </c>
      <c r="C28" s="12" t="s">
        <v>53</v>
      </c>
      <c r="D28" s="12" t="s">
        <v>324</v>
      </c>
    </row>
    <row r="29" spans="1:7" x14ac:dyDescent="0.15">
      <c r="A29" s="12" t="s">
        <v>12</v>
      </c>
      <c r="B29" s="12">
        <v>19</v>
      </c>
      <c r="C29" s="12" t="s">
        <v>54</v>
      </c>
      <c r="D29" s="12" t="s">
        <v>466</v>
      </c>
    </row>
    <row r="30" spans="1:7" x14ac:dyDescent="0.15">
      <c r="A30" s="12" t="s">
        <v>12</v>
      </c>
      <c r="B30" s="12">
        <v>20</v>
      </c>
      <c r="C30" s="12" t="s">
        <v>55</v>
      </c>
      <c r="D30" s="12" t="s">
        <v>467</v>
      </c>
    </row>
    <row r="31" spans="1:7" x14ac:dyDescent="0.15">
      <c r="A31" s="12" t="s">
        <v>12</v>
      </c>
      <c r="B31" s="12">
        <v>21</v>
      </c>
      <c r="C31" s="12" t="s">
        <v>56</v>
      </c>
      <c r="D31" s="12" t="s">
        <v>468</v>
      </c>
    </row>
    <row r="32" spans="1:7" x14ac:dyDescent="0.15">
      <c r="A32" s="12" t="s">
        <v>12</v>
      </c>
      <c r="B32" s="12">
        <v>22</v>
      </c>
      <c r="C32" s="12" t="s">
        <v>57</v>
      </c>
      <c r="D32" s="12" t="s">
        <v>469</v>
      </c>
    </row>
    <row r="33" spans="1:4" x14ac:dyDescent="0.15">
      <c r="A33" s="12" t="s">
        <v>12</v>
      </c>
      <c r="B33" s="12">
        <v>23</v>
      </c>
      <c r="C33" s="12" t="s">
        <v>58</v>
      </c>
      <c r="D33" s="12" t="s">
        <v>470</v>
      </c>
    </row>
    <row r="34" spans="1:4" x14ac:dyDescent="0.15">
      <c r="A34" s="12" t="s">
        <v>12</v>
      </c>
      <c r="B34" s="12">
        <v>24</v>
      </c>
      <c r="C34" s="12" t="s">
        <v>59</v>
      </c>
      <c r="D34" s="12" t="s">
        <v>471</v>
      </c>
    </row>
    <row r="35" spans="1:4" x14ac:dyDescent="0.15">
      <c r="A35" s="12" t="s">
        <v>12</v>
      </c>
      <c r="B35" s="12">
        <v>25</v>
      </c>
      <c r="C35" s="12" t="s">
        <v>60</v>
      </c>
      <c r="D35" s="12" t="s">
        <v>472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F56"/>
  <sheetViews>
    <sheetView workbookViewId="0">
      <selection activeCell="G27" sqref="G27"/>
    </sheetView>
  </sheetViews>
  <sheetFormatPr baseColWidth="10" defaultColWidth="8.83203125" defaultRowHeight="12.75" customHeight="1" x14ac:dyDescent="0.15"/>
  <cols>
    <col min="1" max="1" width="9.33203125" style="32" customWidth="1"/>
    <col min="2" max="25" width="5.6640625" style="32" customWidth="1"/>
    <col min="26" max="26" width="2.33203125" style="32" customWidth="1"/>
    <col min="27" max="16384" width="8.83203125" style="32"/>
  </cols>
  <sheetData>
    <row r="1" spans="1:32" ht="12.75" customHeight="1" x14ac:dyDescent="0.15">
      <c r="A1" s="32">
        <v>1</v>
      </c>
      <c r="B1" s="32">
        <v>2</v>
      </c>
      <c r="C1" s="32">
        <v>3</v>
      </c>
      <c r="D1" s="32">
        <v>4</v>
      </c>
      <c r="E1" s="32">
        <v>5</v>
      </c>
      <c r="F1" s="32">
        <v>6</v>
      </c>
      <c r="G1" s="32">
        <v>7</v>
      </c>
      <c r="H1" s="32">
        <v>8</v>
      </c>
      <c r="I1" s="32">
        <v>9</v>
      </c>
      <c r="J1" s="32">
        <v>10</v>
      </c>
      <c r="K1" s="32">
        <v>11</v>
      </c>
      <c r="L1" s="32">
        <v>12</v>
      </c>
      <c r="M1" s="32">
        <v>13</v>
      </c>
      <c r="N1" s="32">
        <v>14</v>
      </c>
      <c r="O1" s="32">
        <v>15</v>
      </c>
      <c r="P1" s="32">
        <v>16</v>
      </c>
      <c r="Q1" s="32">
        <v>17</v>
      </c>
      <c r="R1" s="32">
        <v>18</v>
      </c>
      <c r="S1" s="32">
        <v>19</v>
      </c>
      <c r="T1" s="32">
        <v>20</v>
      </c>
      <c r="U1" s="32">
        <v>21</v>
      </c>
      <c r="V1" s="32">
        <v>22</v>
      </c>
      <c r="W1" s="32">
        <v>23</v>
      </c>
      <c r="X1" s="32">
        <v>24</v>
      </c>
      <c r="Y1" s="32">
        <v>25</v>
      </c>
    </row>
    <row r="2" spans="1:32" ht="12.75" customHeight="1" x14ac:dyDescent="0.15">
      <c r="A2" s="32" t="s">
        <v>1</v>
      </c>
      <c r="B2" s="50">
        <v>0</v>
      </c>
      <c r="C2" s="50">
        <v>1</v>
      </c>
      <c r="D2" s="50">
        <v>2</v>
      </c>
      <c r="E2" s="50">
        <v>3</v>
      </c>
      <c r="F2" s="50">
        <v>4</v>
      </c>
      <c r="G2" s="50">
        <v>5</v>
      </c>
      <c r="H2" s="50">
        <v>6</v>
      </c>
      <c r="I2" s="50">
        <v>7</v>
      </c>
      <c r="J2" s="50">
        <v>8</v>
      </c>
      <c r="K2" s="50">
        <v>9</v>
      </c>
      <c r="L2" s="50">
        <v>10</v>
      </c>
      <c r="M2" s="50">
        <v>11</v>
      </c>
      <c r="N2" s="50">
        <v>12</v>
      </c>
      <c r="O2" s="50">
        <v>13</v>
      </c>
      <c r="P2" s="50">
        <v>14</v>
      </c>
      <c r="Q2" s="50">
        <v>15</v>
      </c>
      <c r="R2" s="50">
        <v>16</v>
      </c>
      <c r="S2" s="50">
        <v>17</v>
      </c>
      <c r="T2" s="50">
        <v>18</v>
      </c>
      <c r="U2" s="50">
        <v>19</v>
      </c>
      <c r="V2" s="50">
        <v>20</v>
      </c>
      <c r="W2" s="50">
        <v>21</v>
      </c>
      <c r="X2" s="50">
        <v>22</v>
      </c>
      <c r="Y2" s="51">
        <v>23</v>
      </c>
    </row>
    <row r="3" spans="1:32" ht="12.75" customHeight="1" x14ac:dyDescent="0.15">
      <c r="A3" s="32">
        <v>10</v>
      </c>
      <c r="B3" s="52">
        <v>0.01</v>
      </c>
      <c r="C3" s="52">
        <v>0.01</v>
      </c>
      <c r="D3" s="52">
        <v>0.01</v>
      </c>
      <c r="E3" s="52">
        <v>0.01</v>
      </c>
      <c r="F3" s="52">
        <v>0.01</v>
      </c>
      <c r="G3" s="52">
        <v>0.01</v>
      </c>
      <c r="H3" s="52">
        <v>0.01</v>
      </c>
      <c r="I3" s="52">
        <v>0.04</v>
      </c>
      <c r="J3" s="52">
        <v>0.04</v>
      </c>
      <c r="K3" s="52">
        <v>0.04</v>
      </c>
      <c r="L3" s="52">
        <v>0.04</v>
      </c>
      <c r="M3" s="52">
        <v>0.04</v>
      </c>
      <c r="N3" s="52">
        <v>0.04</v>
      </c>
      <c r="O3" s="52">
        <v>0.04</v>
      </c>
      <c r="P3" s="52">
        <v>0.04</v>
      </c>
      <c r="Q3" s="52">
        <v>0.04</v>
      </c>
      <c r="R3" s="52">
        <v>0.13</v>
      </c>
      <c r="S3" s="52">
        <v>0.13</v>
      </c>
      <c r="T3" s="52">
        <v>0.13</v>
      </c>
      <c r="U3" s="52">
        <v>0.13</v>
      </c>
      <c r="V3" s="52">
        <v>0.01</v>
      </c>
      <c r="W3" s="52">
        <v>0.01</v>
      </c>
      <c r="X3" s="52">
        <v>0.01</v>
      </c>
      <c r="Y3" s="53">
        <v>0.01</v>
      </c>
      <c r="Z3" s="54" t="s">
        <v>12</v>
      </c>
      <c r="AA3" s="53" t="s">
        <v>15</v>
      </c>
      <c r="AB3" s="33" t="s">
        <v>14</v>
      </c>
    </row>
    <row r="4" spans="1:32" ht="12.75" customHeight="1" x14ac:dyDescent="0.15">
      <c r="A4" s="32">
        <v>11</v>
      </c>
      <c r="B4" s="52">
        <v>0.03</v>
      </c>
      <c r="C4" s="52">
        <v>0.03</v>
      </c>
      <c r="D4" s="52">
        <v>0.03</v>
      </c>
      <c r="E4" s="52">
        <v>0.03</v>
      </c>
      <c r="F4" s="52">
        <v>0.03</v>
      </c>
      <c r="G4" s="52">
        <v>0.03</v>
      </c>
      <c r="H4" s="52">
        <v>0.03</v>
      </c>
      <c r="I4" s="52">
        <v>0.02</v>
      </c>
      <c r="J4" s="52">
        <v>0.02</v>
      </c>
      <c r="K4" s="52">
        <v>0.02</v>
      </c>
      <c r="L4" s="52">
        <v>0.02</v>
      </c>
      <c r="M4" s="52">
        <v>0.02</v>
      </c>
      <c r="N4" s="52">
        <v>0.02</v>
      </c>
      <c r="O4" s="52">
        <v>0.02</v>
      </c>
      <c r="P4" s="52">
        <v>0.02</v>
      </c>
      <c r="Q4" s="52">
        <v>0.02</v>
      </c>
      <c r="R4" s="52">
        <v>0.12</v>
      </c>
      <c r="S4" s="52">
        <v>0.12</v>
      </c>
      <c r="T4" s="52">
        <v>0.12</v>
      </c>
      <c r="U4" s="52">
        <v>0.12</v>
      </c>
      <c r="V4" s="52">
        <v>0.03</v>
      </c>
      <c r="W4" s="52">
        <v>0.03</v>
      </c>
      <c r="X4" s="52">
        <v>0.03</v>
      </c>
      <c r="Y4" s="53">
        <v>0.03</v>
      </c>
      <c r="Z4" s="54" t="s">
        <v>12</v>
      </c>
      <c r="AA4" s="53" t="s">
        <v>16</v>
      </c>
      <c r="AB4" s="33" t="s">
        <v>14</v>
      </c>
    </row>
    <row r="5" spans="1:32" ht="12.75" customHeight="1" x14ac:dyDescent="0.15">
      <c r="A5" s="32">
        <v>12</v>
      </c>
      <c r="B5" s="52">
        <v>0.04</v>
      </c>
      <c r="C5" s="52">
        <v>0.04</v>
      </c>
      <c r="D5" s="52">
        <v>0.04</v>
      </c>
      <c r="E5" s="52">
        <v>0.04</v>
      </c>
      <c r="F5" s="52">
        <v>0.04</v>
      </c>
      <c r="G5" s="52">
        <v>0.04</v>
      </c>
      <c r="H5" s="52">
        <v>0.04</v>
      </c>
      <c r="I5" s="52">
        <v>0.04</v>
      </c>
      <c r="J5" s="52">
        <v>0.04</v>
      </c>
      <c r="K5" s="52">
        <v>0.04</v>
      </c>
      <c r="L5" s="52">
        <v>0.04</v>
      </c>
      <c r="M5" s="52">
        <v>0.04</v>
      </c>
      <c r="N5" s="52">
        <v>0.04</v>
      </c>
      <c r="O5" s="52">
        <v>0.04</v>
      </c>
      <c r="P5" s="52">
        <v>0.04</v>
      </c>
      <c r="Q5" s="52">
        <v>0.04</v>
      </c>
      <c r="R5" s="52">
        <v>0.05</v>
      </c>
      <c r="S5" s="52">
        <v>0.05</v>
      </c>
      <c r="T5" s="52">
        <v>0.05</v>
      </c>
      <c r="U5" s="52">
        <v>0.05</v>
      </c>
      <c r="V5" s="52">
        <v>0.04</v>
      </c>
      <c r="W5" s="52">
        <v>0.04</v>
      </c>
      <c r="X5" s="52">
        <v>0.04</v>
      </c>
      <c r="Y5" s="53">
        <v>0.04</v>
      </c>
      <c r="Z5" s="54" t="s">
        <v>12</v>
      </c>
      <c r="AA5" s="53" t="s">
        <v>17</v>
      </c>
      <c r="AB5" s="33" t="s">
        <v>14</v>
      </c>
    </row>
    <row r="6" spans="1:32" ht="12.75" customHeight="1" x14ac:dyDescent="0.15"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3"/>
      <c r="Z6" s="54"/>
      <c r="AA6" s="53"/>
      <c r="AB6" s="33"/>
    </row>
    <row r="7" spans="1:32" ht="12.75" customHeight="1" x14ac:dyDescent="0.15">
      <c r="A7" s="32">
        <v>40</v>
      </c>
      <c r="B7" s="52">
        <v>0.3</v>
      </c>
      <c r="C7" s="52">
        <v>0.23</v>
      </c>
      <c r="D7" s="52">
        <v>0.15</v>
      </c>
      <c r="E7" s="52">
        <v>0.13</v>
      </c>
      <c r="F7" s="52">
        <v>0.15</v>
      </c>
      <c r="G7" s="52">
        <v>0.45</v>
      </c>
      <c r="H7" s="52">
        <v>1.2</v>
      </c>
      <c r="I7" s="52">
        <v>1.7</v>
      </c>
      <c r="J7" s="52">
        <v>1.55</v>
      </c>
      <c r="K7" s="52">
        <v>1.4</v>
      </c>
      <c r="L7" s="52">
        <v>1.3</v>
      </c>
      <c r="M7" s="52">
        <v>1.3</v>
      </c>
      <c r="N7" s="52">
        <v>1.35</v>
      </c>
      <c r="O7" s="52">
        <v>1.37</v>
      </c>
      <c r="P7" s="52">
        <v>1.45</v>
      </c>
      <c r="Q7" s="52">
        <v>1.6</v>
      </c>
      <c r="R7" s="52">
        <v>1.75</v>
      </c>
      <c r="S7" s="52">
        <v>1.7</v>
      </c>
      <c r="T7" s="52">
        <v>1.2</v>
      </c>
      <c r="U7" s="52">
        <v>1.1000000000000001</v>
      </c>
      <c r="V7" s="52">
        <v>0.95</v>
      </c>
      <c r="W7" s="52">
        <v>0.65</v>
      </c>
      <c r="X7" s="52">
        <v>0.38</v>
      </c>
      <c r="Y7" s="53">
        <v>0.33</v>
      </c>
      <c r="Z7" s="54" t="s">
        <v>12</v>
      </c>
      <c r="AA7" s="53" t="s">
        <v>18</v>
      </c>
      <c r="AB7" s="33" t="s">
        <v>0</v>
      </c>
    </row>
    <row r="8" spans="1:32" ht="12.75" customHeight="1" x14ac:dyDescent="0.15">
      <c r="A8" s="32">
        <v>41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K8" s="52">
        <v>1</v>
      </c>
      <c r="L8" s="52">
        <v>1</v>
      </c>
      <c r="M8" s="52">
        <v>1</v>
      </c>
      <c r="N8" s="52">
        <v>1</v>
      </c>
      <c r="O8" s="52">
        <v>1</v>
      </c>
      <c r="P8" s="52">
        <v>1</v>
      </c>
      <c r="Q8" s="52">
        <v>1</v>
      </c>
      <c r="R8" s="52">
        <v>1</v>
      </c>
      <c r="S8" s="52">
        <v>1</v>
      </c>
      <c r="T8" s="52">
        <v>1</v>
      </c>
      <c r="U8" s="52">
        <v>1</v>
      </c>
      <c r="V8" s="52">
        <v>1</v>
      </c>
      <c r="W8" s="52">
        <v>1</v>
      </c>
      <c r="X8" s="52">
        <v>1</v>
      </c>
      <c r="Y8" s="53">
        <v>1</v>
      </c>
      <c r="Z8" s="54" t="s">
        <v>12</v>
      </c>
      <c r="AA8" s="53" t="s">
        <v>18</v>
      </c>
      <c r="AB8" s="33" t="s">
        <v>0</v>
      </c>
    </row>
    <row r="9" spans="1:32" ht="12.75" customHeight="1" x14ac:dyDescent="0.15">
      <c r="A9" s="32">
        <v>42</v>
      </c>
      <c r="B9" s="52">
        <v>0.56999999999999995</v>
      </c>
      <c r="C9" s="52">
        <v>0.45</v>
      </c>
      <c r="D9" s="52">
        <v>0.43</v>
      </c>
      <c r="E9" s="52">
        <v>0.4</v>
      </c>
      <c r="F9" s="52">
        <v>0.4</v>
      </c>
      <c r="G9" s="52">
        <v>0.45</v>
      </c>
      <c r="H9" s="52">
        <v>0.71</v>
      </c>
      <c r="I9" s="52">
        <v>1.2</v>
      </c>
      <c r="J9" s="52">
        <v>1.44</v>
      </c>
      <c r="K9" s="52">
        <v>1.29</v>
      </c>
      <c r="L9" s="52">
        <v>1.28</v>
      </c>
      <c r="M9" s="52">
        <v>1.31</v>
      </c>
      <c r="N9" s="52">
        <v>1.3</v>
      </c>
      <c r="O9" s="52">
        <v>1.32</v>
      </c>
      <c r="P9" s="52">
        <v>1.35</v>
      </c>
      <c r="Q9" s="52">
        <v>1.44</v>
      </c>
      <c r="R9" s="52">
        <v>1.51</v>
      </c>
      <c r="S9" s="52">
        <v>1.41</v>
      </c>
      <c r="T9" s="52">
        <v>1.1399999999999999</v>
      </c>
      <c r="U9" s="52">
        <v>0.99</v>
      </c>
      <c r="V9" s="52">
        <v>0.86</v>
      </c>
      <c r="W9" s="52">
        <v>0.85</v>
      </c>
      <c r="X9" s="52">
        <v>0.8</v>
      </c>
      <c r="Y9" s="53">
        <v>0.7</v>
      </c>
      <c r="Z9" s="54" t="s">
        <v>12</v>
      </c>
      <c r="AA9" s="53" t="s">
        <v>19</v>
      </c>
      <c r="AB9" s="33" t="s">
        <v>0</v>
      </c>
      <c r="AF9" s="32" t="s">
        <v>518</v>
      </c>
    </row>
    <row r="10" spans="1:32" ht="12.75" customHeight="1" x14ac:dyDescent="0.15">
      <c r="A10" s="32">
        <v>43</v>
      </c>
      <c r="B10" s="52">
        <v>0.65</v>
      </c>
      <c r="C10" s="52">
        <v>0.49</v>
      </c>
      <c r="D10" s="52">
        <v>0.46</v>
      </c>
      <c r="E10" s="52">
        <v>0.47</v>
      </c>
      <c r="F10" s="52">
        <v>0.47</v>
      </c>
      <c r="G10" s="52">
        <v>0.53</v>
      </c>
      <c r="H10" s="52">
        <v>0.7</v>
      </c>
      <c r="I10" s="52">
        <v>1.1299999999999999</v>
      </c>
      <c r="J10" s="52">
        <v>1.37</v>
      </c>
      <c r="K10" s="52">
        <v>1.37</v>
      </c>
      <c r="L10" s="52">
        <v>1.3</v>
      </c>
      <c r="M10" s="52">
        <v>1.37</v>
      </c>
      <c r="N10" s="52">
        <v>1.33</v>
      </c>
      <c r="O10" s="52">
        <v>1.3</v>
      </c>
      <c r="P10" s="52">
        <v>1.27</v>
      </c>
      <c r="Q10" s="52">
        <v>1.36</v>
      </c>
      <c r="R10" s="52">
        <v>1.44</v>
      </c>
      <c r="S10" s="52">
        <v>1.3</v>
      </c>
      <c r="T10" s="52">
        <v>1.1000000000000001</v>
      </c>
      <c r="U10" s="52">
        <v>0.98</v>
      </c>
      <c r="V10" s="52">
        <v>0.84</v>
      </c>
      <c r="W10" s="52">
        <v>0.9</v>
      </c>
      <c r="X10" s="52">
        <v>0.87</v>
      </c>
      <c r="Y10" s="53">
        <v>0.74</v>
      </c>
      <c r="Z10" s="54" t="s">
        <v>12</v>
      </c>
      <c r="AA10" s="53" t="s">
        <v>20</v>
      </c>
      <c r="AB10" s="33" t="s">
        <v>0</v>
      </c>
      <c r="AF10" s="32" t="s">
        <v>518</v>
      </c>
    </row>
    <row r="11" spans="1:32" ht="12.75" customHeight="1" x14ac:dyDescent="0.15"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3"/>
      <c r="Z11" s="54"/>
      <c r="AA11" s="53"/>
    </row>
    <row r="12" spans="1:32" ht="12.75" customHeight="1" x14ac:dyDescent="0.15">
      <c r="A12" s="32">
        <v>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  <c r="G12" s="52">
        <v>0</v>
      </c>
      <c r="H12" s="52">
        <v>1</v>
      </c>
      <c r="I12" s="52">
        <v>1</v>
      </c>
      <c r="J12" s="52">
        <v>1</v>
      </c>
      <c r="K12" s="52">
        <v>1</v>
      </c>
      <c r="L12" s="52">
        <v>1</v>
      </c>
      <c r="M12" s="52">
        <v>1</v>
      </c>
      <c r="N12" s="52">
        <v>1</v>
      </c>
      <c r="O12" s="52">
        <v>1</v>
      </c>
      <c r="P12" s="52">
        <v>1</v>
      </c>
      <c r="Q12" s="52">
        <v>1</v>
      </c>
      <c r="R12" s="52">
        <v>1</v>
      </c>
      <c r="S12" s="52">
        <v>1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3">
        <v>0</v>
      </c>
      <c r="Z12" s="54" t="s">
        <v>12</v>
      </c>
      <c r="AA12" s="53" t="s">
        <v>21</v>
      </c>
      <c r="AB12" s="33" t="s">
        <v>22</v>
      </c>
    </row>
    <row r="13" spans="1:32" ht="12.75" customHeight="1" x14ac:dyDescent="0.15"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3"/>
      <c r="Z13" s="54"/>
      <c r="AA13" s="53"/>
      <c r="AB13" s="33"/>
    </row>
    <row r="14" spans="1:32" s="38" customFormat="1" ht="12.75" customHeight="1" x14ac:dyDescent="0.15">
      <c r="A14" s="38">
        <v>550</v>
      </c>
      <c r="B14" s="48">
        <v>-999</v>
      </c>
      <c r="C14" s="48">
        <v>-999</v>
      </c>
      <c r="D14" s="48">
        <v>-999</v>
      </c>
      <c r="E14" s="48">
        <v>-999</v>
      </c>
      <c r="F14" s="48">
        <v>-999</v>
      </c>
      <c r="G14" s="48">
        <v>-999</v>
      </c>
      <c r="H14" s="48">
        <v>-999</v>
      </c>
      <c r="I14" s="48">
        <v>-999</v>
      </c>
      <c r="J14" s="48">
        <v>-999</v>
      </c>
      <c r="K14" s="48">
        <v>-999</v>
      </c>
      <c r="L14" s="48">
        <v>-999</v>
      </c>
      <c r="M14" s="48">
        <v>-999</v>
      </c>
      <c r="N14" s="48">
        <v>-999</v>
      </c>
      <c r="O14" s="48">
        <v>-999</v>
      </c>
      <c r="P14" s="48">
        <v>-999</v>
      </c>
      <c r="Q14" s="48">
        <v>-999</v>
      </c>
      <c r="R14" s="48">
        <v>-999</v>
      </c>
      <c r="S14" s="48">
        <v>-999</v>
      </c>
      <c r="T14" s="48">
        <v>-999</v>
      </c>
      <c r="U14" s="48">
        <v>-999</v>
      </c>
      <c r="V14" s="48">
        <v>-999</v>
      </c>
      <c r="W14" s="48">
        <v>-999</v>
      </c>
      <c r="X14" s="48">
        <v>-999</v>
      </c>
      <c r="Y14" s="48">
        <v>-999</v>
      </c>
      <c r="Z14" s="55" t="s">
        <v>12</v>
      </c>
      <c r="AA14" s="56" t="s">
        <v>359</v>
      </c>
      <c r="AB14" s="57" t="s">
        <v>501</v>
      </c>
    </row>
    <row r="15" spans="1:32" s="38" customFormat="1" ht="12.75" customHeight="1" x14ac:dyDescent="0.15">
      <c r="A15" s="38">
        <v>551</v>
      </c>
      <c r="B15" s="48">
        <v>0.56999999999999995</v>
      </c>
      <c r="C15" s="48">
        <v>0.45</v>
      </c>
      <c r="D15" s="48">
        <v>0.43</v>
      </c>
      <c r="E15" s="48">
        <v>0.4</v>
      </c>
      <c r="F15" s="48">
        <v>0.4</v>
      </c>
      <c r="G15" s="48">
        <v>0.45</v>
      </c>
      <c r="H15" s="48">
        <v>0.71</v>
      </c>
      <c r="I15" s="48">
        <v>1.2</v>
      </c>
      <c r="J15" s="48">
        <v>1.44</v>
      </c>
      <c r="K15" s="48">
        <v>1.29</v>
      </c>
      <c r="L15" s="48">
        <v>1.28</v>
      </c>
      <c r="M15" s="48">
        <v>1.31</v>
      </c>
      <c r="N15" s="48">
        <v>1.3</v>
      </c>
      <c r="O15" s="48">
        <v>1.32</v>
      </c>
      <c r="P15" s="48">
        <v>1.35</v>
      </c>
      <c r="Q15" s="48">
        <v>1.44</v>
      </c>
      <c r="R15" s="48">
        <v>1.51</v>
      </c>
      <c r="S15" s="48">
        <v>1.41</v>
      </c>
      <c r="T15" s="48">
        <v>1.1399999999999999</v>
      </c>
      <c r="U15" s="48">
        <v>0.99</v>
      </c>
      <c r="V15" s="48">
        <v>0.86</v>
      </c>
      <c r="W15" s="48">
        <v>0.85</v>
      </c>
      <c r="X15" s="48">
        <v>0.8</v>
      </c>
      <c r="Y15" s="48">
        <v>0.7</v>
      </c>
      <c r="Z15" s="55" t="s">
        <v>12</v>
      </c>
      <c r="AA15" s="56" t="s">
        <v>359</v>
      </c>
      <c r="AB15" s="57" t="s">
        <v>361</v>
      </c>
    </row>
    <row r="16" spans="1:32" s="38" customFormat="1" ht="12.75" customHeight="1" x14ac:dyDescent="0.15">
      <c r="A16" s="38">
        <v>552</v>
      </c>
      <c r="B16" s="48">
        <v>0.65</v>
      </c>
      <c r="C16" s="48">
        <v>0.49</v>
      </c>
      <c r="D16" s="48">
        <v>0.46</v>
      </c>
      <c r="E16" s="48">
        <v>0.47</v>
      </c>
      <c r="F16" s="48">
        <v>0.47</v>
      </c>
      <c r="G16" s="48">
        <v>0.53</v>
      </c>
      <c r="H16" s="48">
        <v>0.7</v>
      </c>
      <c r="I16" s="48">
        <v>1.1299999999999999</v>
      </c>
      <c r="J16" s="48">
        <v>1.37</v>
      </c>
      <c r="K16" s="48">
        <v>1.37</v>
      </c>
      <c r="L16" s="48">
        <v>1.3</v>
      </c>
      <c r="M16" s="48">
        <v>1.37</v>
      </c>
      <c r="N16" s="48">
        <v>1.33</v>
      </c>
      <c r="O16" s="48">
        <v>1.3</v>
      </c>
      <c r="P16" s="48">
        <v>1.27</v>
      </c>
      <c r="Q16" s="48">
        <v>1.36</v>
      </c>
      <c r="R16" s="48">
        <v>1.44</v>
      </c>
      <c r="S16" s="48">
        <v>1.3</v>
      </c>
      <c r="T16" s="48">
        <v>1.1000000000000001</v>
      </c>
      <c r="U16" s="48">
        <v>0.98</v>
      </c>
      <c r="V16" s="48">
        <v>0.84</v>
      </c>
      <c r="W16" s="48">
        <v>0.9</v>
      </c>
      <c r="X16" s="48">
        <v>0.87</v>
      </c>
      <c r="Y16" s="48">
        <v>0.74</v>
      </c>
      <c r="Z16" s="55" t="s">
        <v>12</v>
      </c>
      <c r="AA16" s="56" t="s">
        <v>359</v>
      </c>
      <c r="AB16" s="57" t="s">
        <v>362</v>
      </c>
    </row>
    <row r="17" spans="1:28" ht="12.75" customHeight="1" x14ac:dyDescent="0.15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58"/>
      <c r="AA17" s="59"/>
      <c r="AB17" s="33"/>
    </row>
    <row r="18" spans="1:28" s="43" customFormat="1" ht="12.75" customHeight="1" x14ac:dyDescent="0.15">
      <c r="A18" s="43">
        <v>660</v>
      </c>
      <c r="B18" s="49">
        <v>-999</v>
      </c>
      <c r="C18" s="49">
        <v>-999</v>
      </c>
      <c r="D18" s="49">
        <v>-999</v>
      </c>
      <c r="E18" s="49">
        <v>-999</v>
      </c>
      <c r="F18" s="49">
        <v>-999</v>
      </c>
      <c r="G18" s="49">
        <v>-999</v>
      </c>
      <c r="H18" s="49">
        <v>-999</v>
      </c>
      <c r="I18" s="49">
        <v>-999</v>
      </c>
      <c r="J18" s="49">
        <v>-999</v>
      </c>
      <c r="K18" s="49">
        <v>-999</v>
      </c>
      <c r="L18" s="49">
        <v>-999</v>
      </c>
      <c r="M18" s="49">
        <v>-999</v>
      </c>
      <c r="N18" s="49">
        <v>-999</v>
      </c>
      <c r="O18" s="49">
        <v>-999</v>
      </c>
      <c r="P18" s="49">
        <v>-999</v>
      </c>
      <c r="Q18" s="49">
        <v>-999</v>
      </c>
      <c r="R18" s="49">
        <v>-999</v>
      </c>
      <c r="S18" s="49">
        <v>-999</v>
      </c>
      <c r="T18" s="49">
        <v>-999</v>
      </c>
      <c r="U18" s="49">
        <v>-999</v>
      </c>
      <c r="V18" s="49">
        <v>-999</v>
      </c>
      <c r="W18" s="49">
        <v>-999</v>
      </c>
      <c r="X18" s="49">
        <v>-999</v>
      </c>
      <c r="Y18" s="49">
        <v>-999</v>
      </c>
      <c r="Z18" s="60" t="s">
        <v>12</v>
      </c>
      <c r="AA18" s="61" t="s">
        <v>512</v>
      </c>
      <c r="AB18" s="62" t="s">
        <v>501</v>
      </c>
    </row>
    <row r="19" spans="1:28" s="43" customFormat="1" ht="12.75" customHeight="1" x14ac:dyDescent="0.15">
      <c r="A19" s="43">
        <v>661</v>
      </c>
      <c r="B19" s="49">
        <v>0.56999999999999995</v>
      </c>
      <c r="C19" s="49">
        <v>0.45</v>
      </c>
      <c r="D19" s="49">
        <v>0.43</v>
      </c>
      <c r="E19" s="49">
        <v>0.4</v>
      </c>
      <c r="F19" s="49">
        <v>0.4</v>
      </c>
      <c r="G19" s="49">
        <v>0.45</v>
      </c>
      <c r="H19" s="49">
        <v>0.71</v>
      </c>
      <c r="I19" s="49">
        <v>1.2</v>
      </c>
      <c r="J19" s="49">
        <v>1.44</v>
      </c>
      <c r="K19" s="49">
        <v>1.29</v>
      </c>
      <c r="L19" s="49">
        <v>1.28</v>
      </c>
      <c r="M19" s="49">
        <v>1.31</v>
      </c>
      <c r="N19" s="49">
        <v>1.3</v>
      </c>
      <c r="O19" s="49">
        <v>1.32</v>
      </c>
      <c r="P19" s="49">
        <v>1.35</v>
      </c>
      <c r="Q19" s="49">
        <v>1.44</v>
      </c>
      <c r="R19" s="49">
        <v>1.51</v>
      </c>
      <c r="S19" s="49">
        <v>1.41</v>
      </c>
      <c r="T19" s="49">
        <v>1.1399999999999999</v>
      </c>
      <c r="U19" s="49">
        <v>0.99</v>
      </c>
      <c r="V19" s="49">
        <v>0.86</v>
      </c>
      <c r="W19" s="49">
        <v>0.85</v>
      </c>
      <c r="X19" s="49">
        <v>0.8</v>
      </c>
      <c r="Y19" s="49">
        <v>0.7</v>
      </c>
      <c r="Z19" s="60" t="s">
        <v>12</v>
      </c>
      <c r="AA19" s="61" t="s">
        <v>512</v>
      </c>
      <c r="AB19" s="62" t="s">
        <v>361</v>
      </c>
    </row>
    <row r="20" spans="1:28" s="43" customFormat="1" ht="12.75" customHeight="1" x14ac:dyDescent="0.15">
      <c r="A20" s="43">
        <v>662</v>
      </c>
      <c r="B20" s="49">
        <v>0.65</v>
      </c>
      <c r="C20" s="49">
        <v>0.49</v>
      </c>
      <c r="D20" s="49">
        <v>0.46</v>
      </c>
      <c r="E20" s="49">
        <v>0.47</v>
      </c>
      <c r="F20" s="49">
        <v>0.47</v>
      </c>
      <c r="G20" s="49">
        <v>0.53</v>
      </c>
      <c r="H20" s="49">
        <v>0.7</v>
      </c>
      <c r="I20" s="49">
        <v>1.1299999999999999</v>
      </c>
      <c r="J20" s="49">
        <v>1.37</v>
      </c>
      <c r="K20" s="49">
        <v>1.37</v>
      </c>
      <c r="L20" s="49">
        <v>1.3</v>
      </c>
      <c r="M20" s="49">
        <v>1.37</v>
      </c>
      <c r="N20" s="49">
        <v>1.33</v>
      </c>
      <c r="O20" s="49">
        <v>1.3</v>
      </c>
      <c r="P20" s="49">
        <v>1.27</v>
      </c>
      <c r="Q20" s="49">
        <v>1.36</v>
      </c>
      <c r="R20" s="49">
        <v>1.44</v>
      </c>
      <c r="S20" s="49">
        <v>1.3</v>
      </c>
      <c r="T20" s="49">
        <v>1.1000000000000001</v>
      </c>
      <c r="U20" s="49">
        <v>0.98</v>
      </c>
      <c r="V20" s="49">
        <v>0.84</v>
      </c>
      <c r="W20" s="49">
        <v>0.9</v>
      </c>
      <c r="X20" s="49">
        <v>0.87</v>
      </c>
      <c r="Y20" s="49">
        <v>0.74</v>
      </c>
      <c r="Z20" s="60" t="s">
        <v>12</v>
      </c>
      <c r="AA20" s="61" t="s">
        <v>512</v>
      </c>
      <c r="AB20" s="62" t="s">
        <v>362</v>
      </c>
    </row>
    <row r="21" spans="1:28" ht="12.75" customHeight="1" x14ac:dyDescent="0.15"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58"/>
      <c r="AA21" s="59"/>
      <c r="AB21" s="33"/>
    </row>
    <row r="22" spans="1:28" s="81" customFormat="1" ht="12.75" customHeight="1" x14ac:dyDescent="0.15">
      <c r="A22" s="81">
        <v>99999</v>
      </c>
      <c r="B22" s="82">
        <v>-999</v>
      </c>
      <c r="C22" s="82">
        <v>-999</v>
      </c>
      <c r="D22" s="82">
        <v>-999</v>
      </c>
      <c r="E22" s="82">
        <v>-999</v>
      </c>
      <c r="F22" s="82">
        <v>-999</v>
      </c>
      <c r="G22" s="82">
        <v>-999</v>
      </c>
      <c r="H22" s="82">
        <v>-999</v>
      </c>
      <c r="I22" s="82">
        <v>-999</v>
      </c>
      <c r="J22" s="82">
        <v>-999</v>
      </c>
      <c r="K22" s="82">
        <v>-999</v>
      </c>
      <c r="L22" s="82">
        <v>-999</v>
      </c>
      <c r="M22" s="82">
        <v>-999</v>
      </c>
      <c r="N22" s="82">
        <v>-999</v>
      </c>
      <c r="O22" s="82">
        <v>-999</v>
      </c>
      <c r="P22" s="82">
        <v>-999</v>
      </c>
      <c r="Q22" s="82">
        <v>-999</v>
      </c>
      <c r="R22" s="82">
        <v>-999</v>
      </c>
      <c r="S22" s="82">
        <v>-999</v>
      </c>
      <c r="T22" s="82">
        <v>-999</v>
      </c>
      <c r="U22" s="82">
        <v>-999</v>
      </c>
      <c r="V22" s="82">
        <v>-999</v>
      </c>
      <c r="W22" s="82">
        <v>-999</v>
      </c>
      <c r="X22" s="82">
        <v>-999</v>
      </c>
      <c r="Y22" s="82">
        <v>-999</v>
      </c>
      <c r="Z22" s="83" t="s">
        <v>12</v>
      </c>
      <c r="AA22" s="84" t="s">
        <v>562</v>
      </c>
      <c r="AB22" s="85" t="s">
        <v>501</v>
      </c>
    </row>
    <row r="23" spans="1:28" s="81" customFormat="1" ht="12.75" customHeight="1" x14ac:dyDescent="0.15">
      <c r="A23" s="81">
        <v>33661</v>
      </c>
      <c r="B23" s="82">
        <v>0.56999999999999995</v>
      </c>
      <c r="C23" s="82">
        <v>0.45</v>
      </c>
      <c r="D23" s="82">
        <v>0.43</v>
      </c>
      <c r="E23" s="82">
        <v>0.4</v>
      </c>
      <c r="F23" s="82">
        <v>0.4</v>
      </c>
      <c r="G23" s="82">
        <v>0.45</v>
      </c>
      <c r="H23" s="82">
        <v>0.71</v>
      </c>
      <c r="I23" s="82">
        <v>1.2</v>
      </c>
      <c r="J23" s="82">
        <v>1.44</v>
      </c>
      <c r="K23" s="82">
        <v>1.29</v>
      </c>
      <c r="L23" s="82">
        <v>1.28</v>
      </c>
      <c r="M23" s="82">
        <v>1.31</v>
      </c>
      <c r="N23" s="82">
        <v>1.3</v>
      </c>
      <c r="O23" s="82">
        <v>1.32</v>
      </c>
      <c r="P23" s="82">
        <v>1.35</v>
      </c>
      <c r="Q23" s="82">
        <v>1.44</v>
      </c>
      <c r="R23" s="82">
        <v>1.51</v>
      </c>
      <c r="S23" s="82">
        <v>1.41</v>
      </c>
      <c r="T23" s="82">
        <v>1.1399999999999999</v>
      </c>
      <c r="U23" s="82">
        <v>0.99</v>
      </c>
      <c r="V23" s="82">
        <v>0.86</v>
      </c>
      <c r="W23" s="82">
        <v>0.85</v>
      </c>
      <c r="X23" s="82">
        <v>0.8</v>
      </c>
      <c r="Y23" s="82">
        <v>0.7</v>
      </c>
      <c r="Z23" s="83" t="s">
        <v>12</v>
      </c>
      <c r="AA23" s="84" t="s">
        <v>562</v>
      </c>
      <c r="AB23" s="85" t="s">
        <v>361</v>
      </c>
    </row>
    <row r="24" spans="1:28" s="81" customFormat="1" ht="12.75" customHeight="1" x14ac:dyDescent="0.15">
      <c r="A24" s="81">
        <v>33662</v>
      </c>
      <c r="B24" s="82">
        <v>0.65</v>
      </c>
      <c r="C24" s="82">
        <v>0.49</v>
      </c>
      <c r="D24" s="82">
        <v>0.46</v>
      </c>
      <c r="E24" s="82">
        <v>0.47</v>
      </c>
      <c r="F24" s="82">
        <v>0.47</v>
      </c>
      <c r="G24" s="82">
        <v>0.53</v>
      </c>
      <c r="H24" s="82">
        <v>0.7</v>
      </c>
      <c r="I24" s="82">
        <v>1.1299999999999999</v>
      </c>
      <c r="J24" s="82">
        <v>1.37</v>
      </c>
      <c r="K24" s="82">
        <v>1.37</v>
      </c>
      <c r="L24" s="82">
        <v>1.3</v>
      </c>
      <c r="M24" s="82">
        <v>1.37</v>
      </c>
      <c r="N24" s="82">
        <v>1.33</v>
      </c>
      <c r="O24" s="82">
        <v>1.3</v>
      </c>
      <c r="P24" s="82">
        <v>1.27</v>
      </c>
      <c r="Q24" s="82">
        <v>1.36</v>
      </c>
      <c r="R24" s="82">
        <v>1.44</v>
      </c>
      <c r="S24" s="82">
        <v>1.3</v>
      </c>
      <c r="T24" s="82">
        <v>1.1000000000000001</v>
      </c>
      <c r="U24" s="82">
        <v>0.98</v>
      </c>
      <c r="V24" s="82">
        <v>0.84</v>
      </c>
      <c r="W24" s="82">
        <v>0.9</v>
      </c>
      <c r="X24" s="82">
        <v>0.87</v>
      </c>
      <c r="Y24" s="82">
        <v>0.74</v>
      </c>
      <c r="Z24" s="83" t="s">
        <v>12</v>
      </c>
      <c r="AA24" s="84" t="s">
        <v>562</v>
      </c>
      <c r="AB24" s="85" t="s">
        <v>362</v>
      </c>
    </row>
    <row r="25" spans="1:28" ht="12.75" customHeight="1" x14ac:dyDescent="0.15"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58"/>
      <c r="AA25" s="86"/>
      <c r="AB25" s="33"/>
    </row>
    <row r="26" spans="1:28" ht="12.75" customHeight="1" x14ac:dyDescent="0.15">
      <c r="A26" s="32">
        <v>-9</v>
      </c>
      <c r="B26" s="63"/>
    </row>
    <row r="27" spans="1:28" ht="12.75" customHeight="1" x14ac:dyDescent="0.15">
      <c r="A27" s="32">
        <v>-9</v>
      </c>
    </row>
    <row r="30" spans="1:28" ht="12.75" customHeight="1" x14ac:dyDescent="0.15">
      <c r="A30" s="32" t="s">
        <v>12</v>
      </c>
      <c r="B30" s="32">
        <v>1</v>
      </c>
      <c r="C30" s="32" t="s">
        <v>1</v>
      </c>
      <c r="D30" s="32" t="s">
        <v>292</v>
      </c>
      <c r="I30" s="32" t="s">
        <v>293</v>
      </c>
      <c r="K30" s="54"/>
    </row>
    <row r="31" spans="1:28" ht="12.75" customHeight="1" x14ac:dyDescent="0.15">
      <c r="A31" s="32" t="s">
        <v>12</v>
      </c>
      <c r="B31" s="64" t="s">
        <v>296</v>
      </c>
      <c r="C31" s="65" t="s">
        <v>294</v>
      </c>
      <c r="D31" s="32" t="s">
        <v>295</v>
      </c>
      <c r="J31" s="13"/>
      <c r="K31" s="13"/>
    </row>
    <row r="32" spans="1:28" ht="12.75" customHeight="1" x14ac:dyDescent="0.15">
      <c r="J32" s="13"/>
      <c r="K32" s="13"/>
    </row>
    <row r="33" spans="3:11" ht="12.75" customHeight="1" x14ac:dyDescent="0.15">
      <c r="C33" s="50"/>
      <c r="J33" s="13"/>
      <c r="K33" s="13"/>
    </row>
    <row r="34" spans="3:11" ht="12.75" customHeight="1" x14ac:dyDescent="0.15">
      <c r="C34" s="50"/>
      <c r="J34" s="13"/>
      <c r="K34" s="13"/>
    </row>
    <row r="35" spans="3:11" ht="12.75" customHeight="1" x14ac:dyDescent="0.15">
      <c r="C35" s="50"/>
      <c r="J35" s="13"/>
      <c r="K35" s="13"/>
    </row>
    <row r="36" spans="3:11" ht="12.75" customHeight="1" x14ac:dyDescent="0.15">
      <c r="C36" s="50"/>
      <c r="J36" s="13"/>
      <c r="K36" s="13"/>
    </row>
    <row r="37" spans="3:11" ht="12.75" customHeight="1" x14ac:dyDescent="0.15">
      <c r="C37" s="50"/>
      <c r="J37" s="13"/>
      <c r="K37" s="13"/>
    </row>
    <row r="38" spans="3:11" ht="12.75" customHeight="1" x14ac:dyDescent="0.15">
      <c r="C38" s="50"/>
      <c r="J38" s="13"/>
      <c r="K38" s="13"/>
    </row>
    <row r="39" spans="3:11" ht="12.75" customHeight="1" x14ac:dyDescent="0.15">
      <c r="C39" s="50"/>
      <c r="J39" s="53"/>
      <c r="K39" s="66"/>
    </row>
    <row r="40" spans="3:11" ht="12.75" customHeight="1" x14ac:dyDescent="0.15">
      <c r="C40" s="50"/>
      <c r="J40" s="53"/>
      <c r="K40" s="66"/>
    </row>
    <row r="41" spans="3:11" ht="12.75" customHeight="1" x14ac:dyDescent="0.15">
      <c r="C41" s="50"/>
      <c r="J41" s="53"/>
    </row>
    <row r="42" spans="3:11" ht="12.75" customHeight="1" x14ac:dyDescent="0.15">
      <c r="C42" s="50"/>
      <c r="J42" s="53"/>
      <c r="K42" s="33"/>
    </row>
    <row r="43" spans="3:11" ht="12.75" customHeight="1" x14ac:dyDescent="0.15">
      <c r="C43" s="50"/>
    </row>
    <row r="44" spans="3:11" ht="12.75" customHeight="1" x14ac:dyDescent="0.15">
      <c r="C44" s="50"/>
    </row>
    <row r="45" spans="3:11" ht="12.75" customHeight="1" x14ac:dyDescent="0.15">
      <c r="C45" s="50"/>
    </row>
    <row r="46" spans="3:11" ht="12.75" customHeight="1" x14ac:dyDescent="0.15">
      <c r="C46" s="50"/>
    </row>
    <row r="47" spans="3:11" ht="12.75" customHeight="1" x14ac:dyDescent="0.15">
      <c r="C47" s="50"/>
    </row>
    <row r="48" spans="3:11" ht="12.75" customHeight="1" x14ac:dyDescent="0.15">
      <c r="C48" s="50"/>
    </row>
    <row r="49" spans="3:3" ht="12.75" customHeight="1" x14ac:dyDescent="0.15">
      <c r="C49" s="50"/>
    </row>
    <row r="50" spans="3:3" ht="12.75" customHeight="1" x14ac:dyDescent="0.15">
      <c r="C50" s="50"/>
    </row>
    <row r="51" spans="3:3" ht="12.75" customHeight="1" x14ac:dyDescent="0.15">
      <c r="C51" s="50"/>
    </row>
    <row r="52" spans="3:3" ht="12.75" customHeight="1" x14ac:dyDescent="0.15">
      <c r="C52" s="50"/>
    </row>
    <row r="53" spans="3:3" ht="12.75" customHeight="1" x14ac:dyDescent="0.15">
      <c r="C53" s="50"/>
    </row>
    <row r="54" spans="3:3" ht="12.75" customHeight="1" x14ac:dyDescent="0.15">
      <c r="C54" s="50"/>
    </row>
    <row r="55" spans="3:3" ht="12.75" customHeight="1" x14ac:dyDescent="0.15">
      <c r="C55" s="50"/>
    </row>
    <row r="56" spans="3:3" ht="12.75" customHeight="1" x14ac:dyDescent="0.15">
      <c r="C56" s="51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N49"/>
  <sheetViews>
    <sheetView topLeftCell="A8" workbookViewId="0">
      <selection activeCell="G35" sqref="G35"/>
    </sheetView>
  </sheetViews>
  <sheetFormatPr baseColWidth="10" defaultColWidth="8.83203125" defaultRowHeight="14" x14ac:dyDescent="0.15"/>
  <cols>
    <col min="1" max="1" width="9.1640625" style="6" customWidth="1"/>
    <col min="2" max="8" width="7.6640625" style="6" customWidth="1"/>
    <col min="9" max="10" width="10.33203125" style="6" customWidth="1"/>
    <col min="11" max="11" width="2.5" style="6" customWidth="1"/>
    <col min="12" max="16384" width="8.83203125" style="6"/>
  </cols>
  <sheetData>
    <row r="1" spans="1:13" x14ac:dyDescent="0.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</row>
    <row r="2" spans="1:13" x14ac:dyDescent="0.15">
      <c r="A2" s="6" t="s">
        <v>1</v>
      </c>
      <c r="B2" s="6" t="s">
        <v>171</v>
      </c>
      <c r="C2" s="6" t="s">
        <v>511</v>
      </c>
      <c r="D2" s="6" t="s">
        <v>173</v>
      </c>
      <c r="E2" s="6" t="s">
        <v>174</v>
      </c>
      <c r="F2" s="6" t="s">
        <v>175</v>
      </c>
      <c r="G2" s="6" t="s">
        <v>176</v>
      </c>
      <c r="H2" s="6" t="s">
        <v>177</v>
      </c>
      <c r="I2" s="6" t="s">
        <v>178</v>
      </c>
      <c r="J2" s="6" t="s">
        <v>179</v>
      </c>
      <c r="K2" s="6" t="s">
        <v>12</v>
      </c>
    </row>
    <row r="3" spans="1:13" x14ac:dyDescent="0.15">
      <c r="A3" s="6">
        <v>10</v>
      </c>
      <c r="B3" s="6">
        <v>0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1</v>
      </c>
      <c r="J3" s="6">
        <v>0</v>
      </c>
      <c r="K3" s="6" t="s">
        <v>12</v>
      </c>
      <c r="L3" s="6" t="s">
        <v>83</v>
      </c>
      <c r="M3" s="6" t="s">
        <v>516</v>
      </c>
    </row>
    <row r="4" spans="1:13" x14ac:dyDescent="0.15">
      <c r="A4" s="6">
        <v>20</v>
      </c>
      <c r="B4" s="6">
        <v>0.06</v>
      </c>
      <c r="C4" s="6">
        <v>0</v>
      </c>
      <c r="D4" s="6">
        <v>0.01</v>
      </c>
      <c r="E4" s="6">
        <v>0.01</v>
      </c>
      <c r="F4" s="6">
        <v>0.01</v>
      </c>
      <c r="G4" s="6">
        <v>0.01</v>
      </c>
      <c r="H4" s="6">
        <v>0</v>
      </c>
      <c r="I4" s="6">
        <v>0.9</v>
      </c>
      <c r="J4" s="6">
        <v>0</v>
      </c>
      <c r="K4" s="6" t="s">
        <v>12</v>
      </c>
      <c r="L4" s="6" t="s">
        <v>84</v>
      </c>
      <c r="M4" s="6" t="s">
        <v>516</v>
      </c>
    </row>
    <row r="5" spans="1:13" x14ac:dyDescent="0.15">
      <c r="A5" s="6">
        <v>30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1</v>
      </c>
      <c r="K5" s="6" t="s">
        <v>12</v>
      </c>
      <c r="L5" s="6" t="s">
        <v>309</v>
      </c>
      <c r="M5" s="6" t="s">
        <v>516</v>
      </c>
    </row>
    <row r="6" spans="1:13" x14ac:dyDescent="0.15">
      <c r="A6" s="6">
        <v>40</v>
      </c>
      <c r="B6" s="6">
        <v>0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1</v>
      </c>
      <c r="K6" s="6" t="s">
        <v>12</v>
      </c>
      <c r="L6" s="6" t="s">
        <v>85</v>
      </c>
      <c r="M6" s="6" t="s">
        <v>516</v>
      </c>
    </row>
    <row r="7" spans="1:13" x14ac:dyDescent="0.15">
      <c r="A7" s="6">
        <v>50</v>
      </c>
      <c r="B7" s="6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</v>
      </c>
      <c r="K7" s="6" t="s">
        <v>12</v>
      </c>
      <c r="L7" s="6" t="s">
        <v>75</v>
      </c>
      <c r="M7" s="6" t="s">
        <v>516</v>
      </c>
    </row>
    <row r="8" spans="1:13" x14ac:dyDescent="0.15">
      <c r="A8" s="6">
        <v>60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1</v>
      </c>
      <c r="K8" s="6" t="s">
        <v>12</v>
      </c>
      <c r="L8" s="6" t="s">
        <v>88</v>
      </c>
      <c r="M8" s="6" t="s">
        <v>516</v>
      </c>
    </row>
    <row r="9" spans="1:13" x14ac:dyDescent="0.15">
      <c r="A9" s="6">
        <v>70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 t="s">
        <v>12</v>
      </c>
      <c r="L9" s="6" t="s">
        <v>34</v>
      </c>
      <c r="M9" s="6" t="s">
        <v>516</v>
      </c>
    </row>
    <row r="10" spans="1:13" x14ac:dyDescent="0.15">
      <c r="A10" s="6">
        <v>21</v>
      </c>
      <c r="B10" s="6">
        <v>0.03</v>
      </c>
      <c r="C10" s="6">
        <v>0</v>
      </c>
      <c r="D10" s="6">
        <v>0.01</v>
      </c>
      <c r="E10" s="6">
        <v>0.01</v>
      </c>
      <c r="F10" s="6">
        <v>0.01</v>
      </c>
      <c r="G10" s="6">
        <v>0.01</v>
      </c>
      <c r="H10" s="6">
        <v>0</v>
      </c>
      <c r="I10" s="6">
        <v>0.93</v>
      </c>
      <c r="J10" s="6">
        <v>0</v>
      </c>
      <c r="K10" s="6" t="s">
        <v>12</v>
      </c>
      <c r="L10" s="6" t="s">
        <v>84</v>
      </c>
      <c r="M10" s="6" t="s">
        <v>516</v>
      </c>
    </row>
    <row r="12" spans="1:13" s="7" customFormat="1" x14ac:dyDescent="0.15">
      <c r="A12" s="7">
        <v>551</v>
      </c>
      <c r="B12" s="7">
        <v>0</v>
      </c>
      <c r="C12" s="7">
        <v>0</v>
      </c>
      <c r="D12" s="7">
        <v>0</v>
      </c>
      <c r="E12" s="7">
        <v>0</v>
      </c>
      <c r="F12" s="7">
        <v>0.02</v>
      </c>
      <c r="G12" s="7">
        <v>0</v>
      </c>
      <c r="H12" s="7">
        <v>0</v>
      </c>
      <c r="I12" s="7">
        <v>0.98</v>
      </c>
      <c r="J12" s="7">
        <v>0</v>
      </c>
      <c r="K12" s="7" t="s">
        <v>12</v>
      </c>
      <c r="L12" s="7" t="s">
        <v>83</v>
      </c>
      <c r="M12" s="7" t="s">
        <v>359</v>
      </c>
    </row>
    <row r="13" spans="1:13" s="7" customFormat="1" x14ac:dyDescent="0.15">
      <c r="A13" s="7">
        <v>552</v>
      </c>
      <c r="B13" s="7">
        <v>0.08</v>
      </c>
      <c r="C13" s="7">
        <v>0</v>
      </c>
      <c r="D13" s="7">
        <v>0</v>
      </c>
      <c r="E13" s="7">
        <v>0</v>
      </c>
      <c r="F13" s="7">
        <v>0.02</v>
      </c>
      <c r="G13" s="7">
        <v>0</v>
      </c>
      <c r="H13" s="7">
        <v>0</v>
      </c>
      <c r="I13" s="7">
        <v>0.9</v>
      </c>
      <c r="J13" s="7">
        <v>0</v>
      </c>
      <c r="K13" s="7" t="s">
        <v>12</v>
      </c>
      <c r="L13" s="7" t="s">
        <v>510</v>
      </c>
      <c r="M13" s="7" t="s">
        <v>359</v>
      </c>
    </row>
    <row r="14" spans="1:13" s="7" customFormat="1" x14ac:dyDescent="0.15">
      <c r="A14" s="7">
        <v>553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1</v>
      </c>
      <c r="K14" s="7" t="s">
        <v>12</v>
      </c>
      <c r="L14" s="7" t="s">
        <v>86</v>
      </c>
      <c r="M14" s="7" t="s">
        <v>359</v>
      </c>
    </row>
    <row r="15" spans="1:13" s="7" customFormat="1" x14ac:dyDescent="0.15">
      <c r="A15" s="7">
        <v>554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1</v>
      </c>
      <c r="K15" s="7" t="s">
        <v>12</v>
      </c>
      <c r="L15" s="7" t="s">
        <v>87</v>
      </c>
      <c r="M15" s="7" t="s">
        <v>359</v>
      </c>
    </row>
    <row r="16" spans="1:13" s="7" customFormat="1" x14ac:dyDescent="0.15">
      <c r="A16" s="7">
        <v>555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1</v>
      </c>
      <c r="K16" s="7" t="s">
        <v>12</v>
      </c>
      <c r="L16" s="7" t="s">
        <v>75</v>
      </c>
      <c r="M16" s="7" t="s">
        <v>359</v>
      </c>
    </row>
    <row r="17" spans="1:14" s="7" customFormat="1" x14ac:dyDescent="0.15">
      <c r="A17" s="7">
        <v>556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1</v>
      </c>
      <c r="K17" s="7" t="s">
        <v>12</v>
      </c>
      <c r="L17" s="7" t="s">
        <v>97</v>
      </c>
      <c r="M17" s="7" t="s">
        <v>359</v>
      </c>
    </row>
    <row r="18" spans="1:14" s="7" customFormat="1" x14ac:dyDescent="0.15">
      <c r="A18" s="7">
        <v>557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 t="s">
        <v>12</v>
      </c>
      <c r="L18" s="7" t="s">
        <v>34</v>
      </c>
      <c r="M18" s="7" t="s">
        <v>359</v>
      </c>
      <c r="N18" s="7" t="s">
        <v>363</v>
      </c>
    </row>
    <row r="19" spans="1:14" s="21" customFormat="1" x14ac:dyDescent="0.15"/>
    <row r="20" spans="1:14" s="9" customFormat="1" x14ac:dyDescent="0.15">
      <c r="A20" s="9">
        <v>661</v>
      </c>
      <c r="B20" s="9">
        <v>0</v>
      </c>
      <c r="C20" s="9">
        <v>0</v>
      </c>
      <c r="D20" s="9">
        <v>0</v>
      </c>
      <c r="E20" s="9">
        <v>0</v>
      </c>
      <c r="F20" s="9">
        <v>0.05</v>
      </c>
      <c r="G20" s="9">
        <v>0</v>
      </c>
      <c r="H20" s="9">
        <v>0</v>
      </c>
      <c r="I20" s="9">
        <v>0.95</v>
      </c>
      <c r="J20" s="9">
        <v>0</v>
      </c>
      <c r="K20" s="9" t="s">
        <v>12</v>
      </c>
      <c r="L20" s="9" t="s">
        <v>83</v>
      </c>
      <c r="M20" s="9" t="s">
        <v>512</v>
      </c>
    </row>
    <row r="21" spans="1:14" s="9" customFormat="1" x14ac:dyDescent="0.15">
      <c r="A21" s="9">
        <v>662</v>
      </c>
      <c r="B21" s="9">
        <v>0.1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0.9</v>
      </c>
      <c r="J21" s="9">
        <v>0</v>
      </c>
      <c r="K21" s="9" t="s">
        <v>12</v>
      </c>
      <c r="L21" s="9" t="s">
        <v>510</v>
      </c>
      <c r="M21" s="9" t="s">
        <v>512</v>
      </c>
    </row>
    <row r="22" spans="1:14" s="9" customFormat="1" x14ac:dyDescent="0.15">
      <c r="A22" s="9">
        <v>663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1</v>
      </c>
      <c r="K22" s="9" t="s">
        <v>12</v>
      </c>
      <c r="L22" s="9" t="s">
        <v>86</v>
      </c>
      <c r="M22" s="9" t="s">
        <v>512</v>
      </c>
      <c r="N22" s="9" t="s">
        <v>363</v>
      </c>
    </row>
    <row r="23" spans="1:14" s="9" customFormat="1" x14ac:dyDescent="0.15">
      <c r="A23" s="9">
        <v>664</v>
      </c>
      <c r="B23" s="9">
        <v>0.1</v>
      </c>
      <c r="C23" s="9">
        <v>0</v>
      </c>
      <c r="D23" s="9">
        <v>0</v>
      </c>
      <c r="E23" s="9">
        <v>0</v>
      </c>
      <c r="F23" s="9">
        <v>0.2</v>
      </c>
      <c r="G23" s="9">
        <v>0</v>
      </c>
      <c r="H23" s="9">
        <v>0</v>
      </c>
      <c r="I23" s="9">
        <v>0</v>
      </c>
      <c r="J23" s="9">
        <v>0.7</v>
      </c>
      <c r="K23" s="9" t="s">
        <v>12</v>
      </c>
      <c r="L23" s="9" t="s">
        <v>87</v>
      </c>
      <c r="M23" s="9" t="s">
        <v>512</v>
      </c>
    </row>
    <row r="24" spans="1:14" s="9" customFormat="1" x14ac:dyDescent="0.15">
      <c r="A24" s="9">
        <v>665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1</v>
      </c>
      <c r="K24" s="9" t="s">
        <v>12</v>
      </c>
      <c r="L24" s="9" t="s">
        <v>75</v>
      </c>
      <c r="M24" s="9" t="s">
        <v>512</v>
      </c>
    </row>
    <row r="25" spans="1:14" s="9" customFormat="1" x14ac:dyDescent="0.15">
      <c r="A25" s="9">
        <v>666</v>
      </c>
      <c r="B25" s="9">
        <v>0</v>
      </c>
      <c r="C25" s="9">
        <v>0</v>
      </c>
      <c r="D25" s="9">
        <v>0</v>
      </c>
      <c r="E25" s="9">
        <v>0</v>
      </c>
      <c r="F25" s="9">
        <v>0</v>
      </c>
      <c r="G25" s="9">
        <v>0</v>
      </c>
      <c r="H25" s="9">
        <v>0</v>
      </c>
      <c r="I25" s="9">
        <v>0</v>
      </c>
      <c r="J25" s="9">
        <v>1</v>
      </c>
      <c r="K25" s="9" t="s">
        <v>12</v>
      </c>
      <c r="L25" s="9" t="s">
        <v>97</v>
      </c>
      <c r="M25" s="9" t="s">
        <v>512</v>
      </c>
      <c r="N25" s="9" t="s">
        <v>363</v>
      </c>
    </row>
    <row r="26" spans="1:14" s="9" customFormat="1" x14ac:dyDescent="0.15">
      <c r="A26" s="9">
        <v>667</v>
      </c>
      <c r="B26" s="9">
        <v>0</v>
      </c>
      <c r="C26" s="9">
        <v>0</v>
      </c>
      <c r="D26" s="9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 t="s">
        <v>12</v>
      </c>
      <c r="L26" s="9" t="s">
        <v>34</v>
      </c>
      <c r="M26" s="9" t="s">
        <v>512</v>
      </c>
    </row>
    <row r="27" spans="1:14" s="21" customFormat="1" x14ac:dyDescent="0.15"/>
    <row r="28" spans="1:14" s="68" customFormat="1" x14ac:dyDescent="0.15">
      <c r="A28" s="68">
        <v>33661</v>
      </c>
      <c r="B28" s="68">
        <v>0</v>
      </c>
      <c r="C28" s="68">
        <v>0</v>
      </c>
      <c r="D28" s="68">
        <v>0</v>
      </c>
      <c r="E28" s="68">
        <v>0</v>
      </c>
      <c r="F28" s="68">
        <v>0.05</v>
      </c>
      <c r="G28" s="68">
        <v>0</v>
      </c>
      <c r="H28" s="68">
        <v>0</v>
      </c>
      <c r="I28" s="68">
        <v>0.95</v>
      </c>
      <c r="J28" s="68">
        <v>0</v>
      </c>
      <c r="K28" s="68" t="s">
        <v>12</v>
      </c>
      <c r="L28" s="68" t="s">
        <v>83</v>
      </c>
      <c r="M28" s="68" t="s">
        <v>562</v>
      </c>
    </row>
    <row r="29" spans="1:14" s="68" customFormat="1" x14ac:dyDescent="0.15">
      <c r="A29" s="68">
        <v>33662</v>
      </c>
      <c r="B29" s="68">
        <v>0.1</v>
      </c>
      <c r="C29" s="68">
        <v>0</v>
      </c>
      <c r="D29" s="68">
        <v>0</v>
      </c>
      <c r="E29" s="68">
        <v>0</v>
      </c>
      <c r="F29" s="68">
        <v>0</v>
      </c>
      <c r="G29" s="68">
        <v>0</v>
      </c>
      <c r="H29" s="68">
        <v>0</v>
      </c>
      <c r="I29" s="68">
        <v>0.9</v>
      </c>
      <c r="J29" s="68">
        <v>0</v>
      </c>
      <c r="K29" s="68" t="s">
        <v>12</v>
      </c>
      <c r="L29" s="68" t="s">
        <v>510</v>
      </c>
      <c r="M29" s="68" t="s">
        <v>562</v>
      </c>
    </row>
    <row r="30" spans="1:14" s="68" customFormat="1" x14ac:dyDescent="0.15">
      <c r="A30" s="68">
        <v>33663</v>
      </c>
      <c r="B30" s="68">
        <v>0</v>
      </c>
      <c r="C30" s="68">
        <v>0</v>
      </c>
      <c r="D30" s="68">
        <v>0</v>
      </c>
      <c r="E30" s="68">
        <v>0</v>
      </c>
      <c r="F30" s="68">
        <v>0</v>
      </c>
      <c r="G30" s="68">
        <v>0</v>
      </c>
      <c r="H30" s="68">
        <v>0</v>
      </c>
      <c r="I30" s="68">
        <v>0</v>
      </c>
      <c r="J30" s="68">
        <v>1</v>
      </c>
      <c r="K30" s="68" t="s">
        <v>12</v>
      </c>
      <c r="L30" s="68" t="s">
        <v>86</v>
      </c>
      <c r="M30" s="68" t="s">
        <v>562</v>
      </c>
    </row>
    <row r="31" spans="1:14" s="68" customFormat="1" x14ac:dyDescent="0.15">
      <c r="A31" s="68">
        <v>33664</v>
      </c>
      <c r="B31" s="68">
        <v>0.1</v>
      </c>
      <c r="C31" s="68">
        <v>0</v>
      </c>
      <c r="D31" s="68">
        <v>0</v>
      </c>
      <c r="E31" s="68">
        <v>0</v>
      </c>
      <c r="F31" s="68">
        <v>0.2</v>
      </c>
      <c r="G31" s="68">
        <v>0</v>
      </c>
      <c r="H31" s="68">
        <v>0</v>
      </c>
      <c r="I31" s="68">
        <v>0</v>
      </c>
      <c r="J31" s="68">
        <v>0.7</v>
      </c>
      <c r="K31" s="68" t="s">
        <v>12</v>
      </c>
      <c r="L31" s="68" t="s">
        <v>87</v>
      </c>
      <c r="M31" s="68" t="s">
        <v>562</v>
      </c>
    </row>
    <row r="32" spans="1:14" s="68" customFormat="1" x14ac:dyDescent="0.15">
      <c r="A32" s="68">
        <v>33665</v>
      </c>
      <c r="B32" s="68">
        <v>0</v>
      </c>
      <c r="C32" s="68">
        <v>0</v>
      </c>
      <c r="D32" s="68">
        <v>0</v>
      </c>
      <c r="E32" s="68">
        <v>0</v>
      </c>
      <c r="F32" s="68">
        <v>0</v>
      </c>
      <c r="G32" s="68">
        <v>0</v>
      </c>
      <c r="H32" s="68">
        <v>0</v>
      </c>
      <c r="I32" s="68">
        <v>0</v>
      </c>
      <c r="J32" s="68">
        <v>1</v>
      </c>
      <c r="K32" s="68" t="s">
        <v>12</v>
      </c>
      <c r="L32" s="68" t="s">
        <v>75</v>
      </c>
      <c r="M32" s="68" t="s">
        <v>562</v>
      </c>
    </row>
    <row r="33" spans="1:13" s="68" customFormat="1" x14ac:dyDescent="0.15">
      <c r="A33" s="68">
        <v>33666</v>
      </c>
      <c r="B33" s="68">
        <v>0</v>
      </c>
      <c r="C33" s="68">
        <v>0</v>
      </c>
      <c r="D33" s="68">
        <v>0</v>
      </c>
      <c r="E33" s="68">
        <v>0</v>
      </c>
      <c r="F33" s="68">
        <v>0</v>
      </c>
      <c r="G33" s="68">
        <v>0</v>
      </c>
      <c r="H33" s="68">
        <v>0</v>
      </c>
      <c r="I33" s="68">
        <v>0</v>
      </c>
      <c r="J33" s="68">
        <v>1</v>
      </c>
      <c r="K33" s="68" t="s">
        <v>12</v>
      </c>
      <c r="L33" s="68" t="s">
        <v>97</v>
      </c>
      <c r="M33" s="68" t="s">
        <v>562</v>
      </c>
    </row>
    <row r="34" spans="1:13" s="68" customFormat="1" x14ac:dyDescent="0.15">
      <c r="A34" s="68">
        <v>33667</v>
      </c>
      <c r="B34" s="68">
        <v>0</v>
      </c>
      <c r="C34" s="68">
        <v>0</v>
      </c>
      <c r="D34" s="68">
        <v>0</v>
      </c>
      <c r="E34" s="68">
        <v>0</v>
      </c>
      <c r="F34" s="68">
        <v>0</v>
      </c>
      <c r="G34" s="68">
        <v>0</v>
      </c>
      <c r="H34" s="68">
        <v>0</v>
      </c>
      <c r="I34" s="68">
        <v>0</v>
      </c>
      <c r="J34" s="68">
        <v>0</v>
      </c>
      <c r="K34" s="68" t="s">
        <v>12</v>
      </c>
      <c r="L34" s="68" t="s">
        <v>34</v>
      </c>
      <c r="M34" s="68" t="s">
        <v>562</v>
      </c>
    </row>
    <row r="35" spans="1:13" x14ac:dyDescent="0.15">
      <c r="A35" s="6">
        <v>-9</v>
      </c>
    </row>
    <row r="36" spans="1:13" x14ac:dyDescent="0.15">
      <c r="A36" s="6">
        <v>-9</v>
      </c>
    </row>
    <row r="39" spans="1:13" x14ac:dyDescent="0.15">
      <c r="D39" s="18" t="s">
        <v>299</v>
      </c>
    </row>
    <row r="40" spans="1:13" x14ac:dyDescent="0.15">
      <c r="A40" s="6" t="s">
        <v>12</v>
      </c>
      <c r="B40" s="6">
        <v>1</v>
      </c>
      <c r="C40" s="6" t="s">
        <v>1</v>
      </c>
      <c r="D40" s="6" t="s">
        <v>297</v>
      </c>
      <c r="I40" s="6" t="s">
        <v>298</v>
      </c>
    </row>
    <row r="41" spans="1:13" x14ac:dyDescent="0.15">
      <c r="A41" s="6" t="s">
        <v>12</v>
      </c>
      <c r="B41" s="6">
        <v>2</v>
      </c>
      <c r="C41" s="6" t="s">
        <v>171</v>
      </c>
      <c r="D41" s="6" t="s">
        <v>301</v>
      </c>
      <c r="I41" s="5" t="s">
        <v>306</v>
      </c>
    </row>
    <row r="42" spans="1:13" x14ac:dyDescent="0.15">
      <c r="A42" s="6" t="s">
        <v>12</v>
      </c>
      <c r="B42" s="6">
        <v>3</v>
      </c>
      <c r="C42" s="6" t="s">
        <v>172</v>
      </c>
      <c r="D42" s="6" t="s">
        <v>300</v>
      </c>
      <c r="I42" s="5" t="s">
        <v>306</v>
      </c>
    </row>
    <row r="43" spans="1:13" x14ac:dyDescent="0.15">
      <c r="A43" s="6" t="s">
        <v>12</v>
      </c>
      <c r="B43" s="6">
        <v>4</v>
      </c>
      <c r="C43" s="6" t="s">
        <v>173</v>
      </c>
      <c r="D43" s="6" t="s">
        <v>302</v>
      </c>
      <c r="I43" s="5" t="s">
        <v>306</v>
      </c>
    </row>
    <row r="44" spans="1:13" x14ac:dyDescent="0.15">
      <c r="A44" s="6" t="s">
        <v>12</v>
      </c>
      <c r="B44" s="6">
        <v>5</v>
      </c>
      <c r="C44" s="6" t="s">
        <v>174</v>
      </c>
      <c r="D44" s="6" t="s">
        <v>303</v>
      </c>
      <c r="I44" s="5" t="s">
        <v>306</v>
      </c>
    </row>
    <row r="45" spans="1:13" x14ac:dyDescent="0.15">
      <c r="A45" s="6" t="s">
        <v>12</v>
      </c>
      <c r="B45" s="6">
        <v>6</v>
      </c>
      <c r="C45" s="6" t="s">
        <v>175</v>
      </c>
      <c r="D45" s="6" t="s">
        <v>304</v>
      </c>
      <c r="I45" s="5" t="s">
        <v>306</v>
      </c>
    </row>
    <row r="46" spans="1:13" x14ac:dyDescent="0.15">
      <c r="A46" s="6" t="s">
        <v>12</v>
      </c>
      <c r="B46" s="6">
        <v>7</v>
      </c>
      <c r="C46" s="6" t="s">
        <v>176</v>
      </c>
      <c r="D46" s="6" t="s">
        <v>305</v>
      </c>
      <c r="I46" s="5" t="s">
        <v>306</v>
      </c>
    </row>
    <row r="47" spans="1:13" x14ac:dyDescent="0.15">
      <c r="A47" s="6" t="s">
        <v>12</v>
      </c>
      <c r="B47" s="6">
        <v>8</v>
      </c>
      <c r="C47" s="6" t="s">
        <v>178</v>
      </c>
      <c r="D47" s="6" t="s">
        <v>308</v>
      </c>
      <c r="I47" s="5"/>
    </row>
    <row r="48" spans="1:13" x14ac:dyDescent="0.15">
      <c r="A48" s="6" t="s">
        <v>12</v>
      </c>
      <c r="B48" s="6">
        <v>9</v>
      </c>
      <c r="C48" s="6" t="s">
        <v>179</v>
      </c>
      <c r="D48" s="6" t="s">
        <v>307</v>
      </c>
    </row>
    <row r="49" spans="1:3" x14ac:dyDescent="0.15">
      <c r="A49" s="6" t="s">
        <v>12</v>
      </c>
      <c r="C49" s="6" t="s">
        <v>310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I50"/>
  <sheetViews>
    <sheetView workbookViewId="0">
      <selection activeCell="F13" sqref="F13"/>
    </sheetView>
  </sheetViews>
  <sheetFormatPr baseColWidth="10" defaultColWidth="8.83203125" defaultRowHeight="14" x14ac:dyDescent="0.15"/>
  <cols>
    <col min="1" max="5" width="8.83203125" style="6"/>
    <col min="6" max="6" width="94.5" style="6" bestFit="1" customWidth="1"/>
    <col min="7" max="7" width="28.83203125" style="6" bestFit="1" customWidth="1"/>
    <col min="8" max="16384" width="8.83203125" style="6"/>
  </cols>
  <sheetData>
    <row r="1" spans="1:8" x14ac:dyDescent="0.15">
      <c r="A1" s="6">
        <v>1</v>
      </c>
      <c r="B1" s="6">
        <v>2</v>
      </c>
      <c r="C1" s="6">
        <v>3</v>
      </c>
      <c r="D1" s="6">
        <v>4</v>
      </c>
    </row>
    <row r="2" spans="1:8" x14ac:dyDescent="0.15">
      <c r="A2" s="6" t="s">
        <v>1</v>
      </c>
      <c r="B2" s="6" t="s">
        <v>72</v>
      </c>
      <c r="C2" s="6" t="s">
        <v>73</v>
      </c>
      <c r="D2" s="6" t="s">
        <v>74</v>
      </c>
      <c r="E2" s="6" t="s">
        <v>12</v>
      </c>
      <c r="F2" s="6" t="s">
        <v>365</v>
      </c>
      <c r="G2" s="6" t="s">
        <v>366</v>
      </c>
      <c r="H2" s="6" t="s">
        <v>367</v>
      </c>
    </row>
    <row r="3" spans="1:8" x14ac:dyDescent="0.15">
      <c r="A3" s="6">
        <v>10</v>
      </c>
      <c r="B3" s="6">
        <v>0.71</v>
      </c>
      <c r="C3" s="6">
        <v>0.04</v>
      </c>
      <c r="D3" s="6">
        <v>-39.700000000000003</v>
      </c>
      <c r="E3" s="6" t="s">
        <v>12</v>
      </c>
      <c r="F3" s="6" t="s">
        <v>368</v>
      </c>
      <c r="G3" s="6" t="s">
        <v>369</v>
      </c>
    </row>
    <row r="4" spans="1:8" x14ac:dyDescent="0.15">
      <c r="A4" s="6">
        <v>11</v>
      </c>
      <c r="B4" s="6">
        <v>0.32</v>
      </c>
      <c r="C4" s="6">
        <v>0.01</v>
      </c>
      <c r="D4" s="6">
        <v>-27.7</v>
      </c>
      <c r="E4" s="6" t="s">
        <v>12</v>
      </c>
      <c r="F4" s="6" t="s">
        <v>370</v>
      </c>
      <c r="G4" s="6" t="s">
        <v>371</v>
      </c>
    </row>
    <row r="5" spans="1:8" x14ac:dyDescent="0.15">
      <c r="A5" s="6">
        <v>100</v>
      </c>
      <c r="B5" s="6">
        <v>0.51500000000000001</v>
      </c>
      <c r="C5" s="6">
        <v>2.5000000000000001E-2</v>
      </c>
      <c r="D5" s="6">
        <v>-33.700000000000003</v>
      </c>
      <c r="E5" s="6" t="s">
        <v>12</v>
      </c>
      <c r="F5" s="6" t="s">
        <v>372</v>
      </c>
    </row>
    <row r="6" spans="1:8" x14ac:dyDescent="0.15">
      <c r="A6" s="6">
        <v>200</v>
      </c>
      <c r="B6" s="6">
        <v>0.33600000000000002</v>
      </c>
      <c r="C6" s="6">
        <v>0.313</v>
      </c>
      <c r="D6" s="6">
        <v>-31.4</v>
      </c>
      <c r="E6" s="6" t="s">
        <v>12</v>
      </c>
      <c r="F6" s="6" t="s">
        <v>373</v>
      </c>
    </row>
    <row r="7" spans="1:8" x14ac:dyDescent="0.15">
      <c r="A7" s="6">
        <v>20</v>
      </c>
      <c r="B7" s="6">
        <v>0.11</v>
      </c>
      <c r="C7" s="6">
        <v>0.11</v>
      </c>
      <c r="D7" s="6">
        <v>-12.3</v>
      </c>
      <c r="E7" s="6" t="s">
        <v>12</v>
      </c>
      <c r="F7" s="6" t="s">
        <v>374</v>
      </c>
      <c r="G7" s="6" t="s">
        <v>375</v>
      </c>
    </row>
    <row r="8" spans="1:8" x14ac:dyDescent="0.15">
      <c r="A8" s="6">
        <v>30</v>
      </c>
      <c r="B8" s="6">
        <v>0.32</v>
      </c>
      <c r="C8" s="6">
        <v>0.54</v>
      </c>
      <c r="D8" s="6">
        <v>-27.4</v>
      </c>
      <c r="E8" s="6" t="s">
        <v>12</v>
      </c>
      <c r="F8" s="6" t="s">
        <v>376</v>
      </c>
      <c r="G8" s="6" t="s">
        <v>377</v>
      </c>
    </row>
    <row r="9" spans="1:8" x14ac:dyDescent="0.15">
      <c r="A9" s="6">
        <v>50</v>
      </c>
      <c r="B9" s="6">
        <v>0.38</v>
      </c>
      <c r="C9" s="6">
        <v>0.56000000000000005</v>
      </c>
      <c r="D9" s="6">
        <v>-27.3</v>
      </c>
      <c r="E9" s="6" t="s">
        <v>12</v>
      </c>
      <c r="F9" s="6" t="s">
        <v>378</v>
      </c>
      <c r="G9" s="6" t="s">
        <v>379</v>
      </c>
    </row>
    <row r="10" spans="1:8" x14ac:dyDescent="0.15">
      <c r="A10" s="6">
        <v>51</v>
      </c>
      <c r="B10" s="6">
        <v>0.33</v>
      </c>
      <c r="C10" s="6">
        <v>7.0000000000000007E-2</v>
      </c>
      <c r="D10" s="6">
        <v>-34.9</v>
      </c>
      <c r="E10" s="6" t="s">
        <v>12</v>
      </c>
      <c r="F10" s="6" t="s">
        <v>380</v>
      </c>
      <c r="G10" s="6" t="s">
        <v>381</v>
      </c>
    </row>
    <row r="11" spans="1:8" x14ac:dyDescent="0.15">
      <c r="A11" s="6">
        <v>52</v>
      </c>
      <c r="B11" s="6">
        <v>0.35</v>
      </c>
      <c r="C11" s="6">
        <v>0.43</v>
      </c>
      <c r="D11" s="6">
        <v>-36.5</v>
      </c>
      <c r="E11" s="6" t="s">
        <v>12</v>
      </c>
      <c r="F11" s="6" t="s">
        <v>382</v>
      </c>
      <c r="G11" s="6" t="s">
        <v>381</v>
      </c>
    </row>
    <row r="12" spans="1:8" x14ac:dyDescent="0.15">
      <c r="A12" s="6">
        <v>53</v>
      </c>
      <c r="B12" s="6">
        <v>0.36</v>
      </c>
      <c r="C12" s="6">
        <v>0.27</v>
      </c>
      <c r="D12" s="6">
        <v>-42.4</v>
      </c>
      <c r="E12" s="6" t="s">
        <v>12</v>
      </c>
      <c r="F12" s="6" t="s">
        <v>378</v>
      </c>
      <c r="G12" s="6" t="s">
        <v>383</v>
      </c>
    </row>
    <row r="13" spans="1:8" x14ac:dyDescent="0.15">
      <c r="A13" s="6">
        <v>55</v>
      </c>
      <c r="B13" s="6">
        <v>0.35499999999999998</v>
      </c>
      <c r="C13" s="6">
        <v>0.33500000000000002</v>
      </c>
      <c r="D13" s="6">
        <v>-35.274999999999999</v>
      </c>
      <c r="E13" s="6" t="s">
        <v>12</v>
      </c>
      <c r="F13" s="6" t="s">
        <v>384</v>
      </c>
    </row>
    <row r="14" spans="1:8" x14ac:dyDescent="0.15">
      <c r="A14" s="6">
        <v>60</v>
      </c>
      <c r="B14" s="6">
        <v>0.5</v>
      </c>
      <c r="C14" s="6">
        <v>0.21</v>
      </c>
      <c r="D14" s="6">
        <v>-39.1</v>
      </c>
      <c r="E14" s="6" t="s">
        <v>12</v>
      </c>
      <c r="F14" s="6" t="s">
        <v>385</v>
      </c>
      <c r="G14" s="6" t="s">
        <v>386</v>
      </c>
    </row>
    <row r="15" spans="1:8" x14ac:dyDescent="0.15">
      <c r="A15" s="6">
        <v>61</v>
      </c>
      <c r="B15" s="6">
        <v>0.25</v>
      </c>
      <c r="C15" s="6">
        <v>0.6</v>
      </c>
      <c r="D15" s="6">
        <v>-30</v>
      </c>
      <c r="E15" s="6" t="s">
        <v>12</v>
      </c>
      <c r="F15" s="6" t="s">
        <v>5</v>
      </c>
      <c r="G15" s="6" t="s">
        <v>387</v>
      </c>
    </row>
    <row r="16" spans="1:8" x14ac:dyDescent="0.15">
      <c r="A16" s="6">
        <v>713</v>
      </c>
      <c r="B16" s="6">
        <v>0.17</v>
      </c>
      <c r="C16" s="6">
        <v>0.1</v>
      </c>
      <c r="D16" s="6">
        <v>-17</v>
      </c>
      <c r="E16" s="6" t="s">
        <v>12</v>
      </c>
      <c r="F16" s="6" t="s">
        <v>388</v>
      </c>
      <c r="G16" s="6" t="s">
        <v>76</v>
      </c>
    </row>
    <row r="17" spans="1:8" x14ac:dyDescent="0.15">
      <c r="A17" s="6">
        <v>701</v>
      </c>
      <c r="B17" s="6">
        <v>0.3</v>
      </c>
      <c r="C17" s="6">
        <v>0.96</v>
      </c>
      <c r="D17" s="6">
        <v>-24</v>
      </c>
      <c r="E17" s="6" t="s">
        <v>12</v>
      </c>
      <c r="F17" s="6" t="s">
        <v>389</v>
      </c>
      <c r="G17" s="6" t="s">
        <v>390</v>
      </c>
    </row>
    <row r="18" spans="1:8" x14ac:dyDescent="0.15">
      <c r="A18" s="6">
        <v>702</v>
      </c>
      <c r="B18" s="6">
        <v>0.26</v>
      </c>
      <c r="C18" s="6">
        <v>0.89</v>
      </c>
      <c r="D18" s="6">
        <v>-21</v>
      </c>
      <c r="E18" s="6" t="s">
        <v>12</v>
      </c>
      <c r="F18" s="6" t="s">
        <v>391</v>
      </c>
      <c r="G18" s="6" t="s">
        <v>390</v>
      </c>
    </row>
    <row r="19" spans="1:8" x14ac:dyDescent="0.15">
      <c r="A19" s="6">
        <v>703</v>
      </c>
      <c r="B19" s="6">
        <v>0.23</v>
      </c>
      <c r="C19" s="6">
        <v>0.87</v>
      </c>
      <c r="D19" s="6">
        <v>-24</v>
      </c>
      <c r="E19" s="6" t="s">
        <v>12</v>
      </c>
      <c r="F19" s="6" t="s">
        <v>392</v>
      </c>
      <c r="G19" s="6" t="s">
        <v>390</v>
      </c>
    </row>
    <row r="20" spans="1:8" x14ac:dyDescent="0.15">
      <c r="A20" s="6">
        <v>704</v>
      </c>
      <c r="B20" s="6">
        <v>0.23</v>
      </c>
      <c r="C20" s="6">
        <v>0.69</v>
      </c>
      <c r="D20" s="6">
        <v>-21</v>
      </c>
      <c r="E20" s="6" t="s">
        <v>12</v>
      </c>
      <c r="F20" s="6" t="s">
        <v>393</v>
      </c>
      <c r="G20" s="6" t="s">
        <v>390</v>
      </c>
    </row>
    <row r="21" spans="1:8" x14ac:dyDescent="0.15">
      <c r="A21" s="6">
        <v>705</v>
      </c>
      <c r="B21" s="6">
        <v>0.06</v>
      </c>
      <c r="C21" s="6">
        <v>0.28000000000000003</v>
      </c>
      <c r="D21" s="6">
        <v>-3</v>
      </c>
      <c r="E21" s="6" t="s">
        <v>12</v>
      </c>
      <c r="F21" s="6" t="s">
        <v>394</v>
      </c>
      <c r="G21" s="6" t="s">
        <v>390</v>
      </c>
    </row>
    <row r="22" spans="1:8" x14ac:dyDescent="0.15">
      <c r="A22" s="6">
        <v>706</v>
      </c>
      <c r="B22" s="6">
        <v>0.15</v>
      </c>
      <c r="C22" s="6">
        <v>0.28000000000000003</v>
      </c>
      <c r="D22" s="6">
        <v>-6</v>
      </c>
      <c r="E22" s="6" t="s">
        <v>12</v>
      </c>
      <c r="F22" s="6" t="s">
        <v>395</v>
      </c>
      <c r="G22" s="6" t="s">
        <v>390</v>
      </c>
    </row>
    <row r="23" spans="1:8" x14ac:dyDescent="0.15">
      <c r="A23" s="6">
        <v>707</v>
      </c>
      <c r="B23" s="6">
        <v>0.12</v>
      </c>
      <c r="C23" s="6">
        <v>0.25</v>
      </c>
      <c r="D23" s="6">
        <v>-5</v>
      </c>
      <c r="E23" s="6" t="s">
        <v>12</v>
      </c>
      <c r="F23" s="6" t="s">
        <v>396</v>
      </c>
      <c r="G23" s="6" t="s">
        <v>390</v>
      </c>
    </row>
    <row r="24" spans="1:8" x14ac:dyDescent="0.15">
      <c r="A24" s="6">
        <v>708</v>
      </c>
      <c r="B24" s="6">
        <v>0.1</v>
      </c>
      <c r="C24" s="6">
        <v>0.23</v>
      </c>
      <c r="D24" s="6">
        <v>-6</v>
      </c>
      <c r="E24" s="6" t="s">
        <v>12</v>
      </c>
      <c r="F24" s="6" t="s">
        <v>397</v>
      </c>
      <c r="G24" s="6" t="s">
        <v>390</v>
      </c>
    </row>
    <row r="25" spans="1:8" x14ac:dyDescent="0.15">
      <c r="A25" s="6">
        <v>709</v>
      </c>
      <c r="B25" s="6">
        <v>0.09</v>
      </c>
      <c r="C25" s="6">
        <v>0.18</v>
      </c>
      <c r="D25" s="6">
        <v>-1</v>
      </c>
      <c r="E25" s="6" t="s">
        <v>12</v>
      </c>
      <c r="F25" s="6" t="s">
        <v>398</v>
      </c>
      <c r="G25" s="6" t="s">
        <v>390</v>
      </c>
    </row>
    <row r="26" spans="1:8" x14ac:dyDescent="0.15">
      <c r="A26" s="6">
        <v>710</v>
      </c>
      <c r="B26" s="6">
        <v>7.0000000000000007E-2</v>
      </c>
      <c r="C26" s="6">
        <v>0.26</v>
      </c>
      <c r="D26" s="6">
        <v>-6</v>
      </c>
      <c r="E26" s="6" t="s">
        <v>12</v>
      </c>
      <c r="F26" s="6" t="s">
        <v>399</v>
      </c>
      <c r="G26" s="6" t="s">
        <v>390</v>
      </c>
    </row>
    <row r="27" spans="1:8" x14ac:dyDescent="0.15">
      <c r="A27" s="6">
        <v>711</v>
      </c>
      <c r="B27" s="6">
        <v>0.06</v>
      </c>
      <c r="C27" s="6">
        <v>0.43</v>
      </c>
      <c r="D27" s="6">
        <v>-4</v>
      </c>
      <c r="E27" s="6" t="s">
        <v>12</v>
      </c>
      <c r="F27" s="6" t="s">
        <v>400</v>
      </c>
      <c r="G27" s="6" t="s">
        <v>390</v>
      </c>
    </row>
    <row r="28" spans="1:8" x14ac:dyDescent="0.15">
      <c r="A28" s="6">
        <v>712</v>
      </c>
      <c r="B28" s="6">
        <v>7.0000000000000007E-2</v>
      </c>
      <c r="C28" s="6">
        <v>0.06</v>
      </c>
      <c r="D28" s="6">
        <v>-5</v>
      </c>
      <c r="E28" s="6" t="s">
        <v>12</v>
      </c>
      <c r="F28" s="6" t="s">
        <v>401</v>
      </c>
      <c r="G28" s="6" t="s">
        <v>390</v>
      </c>
    </row>
    <row r="29" spans="1:8" x14ac:dyDescent="0.15">
      <c r="A29" s="6">
        <v>750</v>
      </c>
      <c r="B29" s="6">
        <v>0.19</v>
      </c>
      <c r="C29" s="6">
        <v>0.54</v>
      </c>
      <c r="D29" s="6">
        <v>-15.125</v>
      </c>
      <c r="E29" s="6" t="s">
        <v>12</v>
      </c>
      <c r="F29" s="6" t="s">
        <v>407</v>
      </c>
      <c r="G29" s="6" t="s">
        <v>387</v>
      </c>
    </row>
    <row r="30" spans="1:8" x14ac:dyDescent="0.15">
      <c r="A30" s="6">
        <v>751</v>
      </c>
      <c r="B30" s="6">
        <v>0.12</v>
      </c>
      <c r="C30" s="6">
        <v>0.24</v>
      </c>
      <c r="D30" s="6">
        <v>-4.5</v>
      </c>
      <c r="E30" s="6" t="s">
        <v>12</v>
      </c>
      <c r="F30" s="6" t="s">
        <v>408</v>
      </c>
      <c r="G30" s="6" t="s">
        <v>387</v>
      </c>
    </row>
    <row r="31" spans="1:8" x14ac:dyDescent="0.15">
      <c r="A31" s="6">
        <v>752</v>
      </c>
      <c r="B31" s="6">
        <v>0.26</v>
      </c>
      <c r="C31" s="6">
        <v>0.85</v>
      </c>
      <c r="D31" s="6">
        <v>-21.4</v>
      </c>
      <c r="E31" s="6" t="s">
        <v>12</v>
      </c>
      <c r="F31" s="6" t="s">
        <v>409</v>
      </c>
      <c r="G31" s="6" t="s">
        <v>387</v>
      </c>
    </row>
    <row r="32" spans="1:8" x14ac:dyDescent="0.15">
      <c r="A32" s="6">
        <v>790</v>
      </c>
      <c r="B32" s="6">
        <v>0.44</v>
      </c>
      <c r="C32" s="6">
        <v>0.56999999999999995</v>
      </c>
      <c r="D32" s="6">
        <v>-28.9</v>
      </c>
      <c r="E32" s="6" t="s">
        <v>12</v>
      </c>
      <c r="F32" s="6" t="s">
        <v>402</v>
      </c>
      <c r="G32" s="6" t="s">
        <v>403</v>
      </c>
      <c r="H32" s="6" t="s">
        <v>78</v>
      </c>
    </row>
    <row r="33" spans="1:9" x14ac:dyDescent="0.15">
      <c r="A33" s="6">
        <v>791</v>
      </c>
      <c r="B33" s="6">
        <v>0.82</v>
      </c>
      <c r="C33" s="6">
        <v>0.34</v>
      </c>
      <c r="D33" s="6">
        <v>-55.7</v>
      </c>
      <c r="E33" s="6" t="s">
        <v>12</v>
      </c>
      <c r="F33" s="6" t="s">
        <v>404</v>
      </c>
      <c r="G33" s="6" t="s">
        <v>405</v>
      </c>
      <c r="H33" s="6" t="s">
        <v>78</v>
      </c>
    </row>
    <row r="34" spans="1:9" x14ac:dyDescent="0.15">
      <c r="A34" s="6">
        <v>799</v>
      </c>
      <c r="B34" s="6">
        <v>0.23799999999999999</v>
      </c>
      <c r="C34" s="6">
        <v>0.42699999999999999</v>
      </c>
      <c r="D34" s="6">
        <v>-16.7</v>
      </c>
      <c r="E34" s="6" t="s">
        <v>12</v>
      </c>
      <c r="F34" s="6" t="s">
        <v>406</v>
      </c>
    </row>
    <row r="35" spans="1:9" x14ac:dyDescent="0.15">
      <c r="A35" s="6">
        <v>800</v>
      </c>
      <c r="B35" s="6">
        <v>0.71899999999999997</v>
      </c>
      <c r="C35" s="6">
        <v>0.19400000000000001</v>
      </c>
      <c r="D35" s="6">
        <v>-36.6</v>
      </c>
      <c r="E35" s="6" t="s">
        <v>12</v>
      </c>
      <c r="F35" s="6" t="s">
        <v>415</v>
      </c>
    </row>
    <row r="36" spans="1:9" x14ac:dyDescent="0.15">
      <c r="A36" s="6">
        <v>801</v>
      </c>
      <c r="B36" s="6">
        <v>0.81</v>
      </c>
      <c r="C36" s="6">
        <v>0.1</v>
      </c>
      <c r="D36" s="6">
        <v>-79.900000000000006</v>
      </c>
      <c r="E36" s="6" t="s">
        <v>12</v>
      </c>
      <c r="F36" s="6" t="s">
        <v>79</v>
      </c>
      <c r="G36" s="6" t="s">
        <v>377</v>
      </c>
    </row>
    <row r="37" spans="1:9" x14ac:dyDescent="0.15">
      <c r="A37" s="6">
        <v>802</v>
      </c>
      <c r="B37" s="6">
        <v>0.85</v>
      </c>
      <c r="C37" s="6">
        <v>0.32</v>
      </c>
      <c r="D37" s="6">
        <v>-28.5</v>
      </c>
      <c r="E37" s="6" t="s">
        <v>12</v>
      </c>
      <c r="F37" s="6" t="s">
        <v>79</v>
      </c>
      <c r="G37" s="6" t="s">
        <v>410</v>
      </c>
    </row>
    <row r="38" spans="1:9" x14ac:dyDescent="0.15">
      <c r="A38" s="6">
        <v>901</v>
      </c>
      <c r="B38" s="6">
        <v>0.36</v>
      </c>
      <c r="C38" s="6">
        <v>0.23</v>
      </c>
      <c r="D38" s="6">
        <v>-19.3</v>
      </c>
      <c r="E38" s="6" t="s">
        <v>12</v>
      </c>
      <c r="F38" s="6" t="s">
        <v>77</v>
      </c>
      <c r="G38" s="6" t="s">
        <v>411</v>
      </c>
    </row>
    <row r="39" spans="1:9" x14ac:dyDescent="0.15">
      <c r="A39" s="6">
        <v>902</v>
      </c>
      <c r="B39" s="6">
        <v>0.64</v>
      </c>
      <c r="C39" s="6">
        <v>0.32</v>
      </c>
      <c r="D39" s="6">
        <v>-43.6</v>
      </c>
      <c r="E39" s="6" t="s">
        <v>12</v>
      </c>
      <c r="F39" s="6" t="s">
        <v>77</v>
      </c>
      <c r="G39" s="6" t="s">
        <v>410</v>
      </c>
    </row>
    <row r="40" spans="1:9" x14ac:dyDescent="0.15">
      <c r="A40" s="6">
        <v>903</v>
      </c>
      <c r="B40" s="6">
        <v>0.82</v>
      </c>
      <c r="C40" s="6">
        <v>0.68</v>
      </c>
      <c r="D40" s="6">
        <v>-20.100000000000001</v>
      </c>
      <c r="E40" s="6" t="s">
        <v>12</v>
      </c>
      <c r="F40" s="6" t="s">
        <v>77</v>
      </c>
      <c r="G40" s="6" t="s">
        <v>412</v>
      </c>
    </row>
    <row r="41" spans="1:9" x14ac:dyDescent="0.15">
      <c r="A41" s="6">
        <v>905</v>
      </c>
      <c r="B41" s="6">
        <v>0.72</v>
      </c>
      <c r="C41" s="6">
        <v>0.54</v>
      </c>
      <c r="D41" s="6">
        <v>-40.200000000000003</v>
      </c>
      <c r="E41" s="6" t="s">
        <v>12</v>
      </c>
      <c r="F41" s="6" t="s">
        <v>413</v>
      </c>
      <c r="G41" s="6" t="s">
        <v>412</v>
      </c>
    </row>
    <row r="42" spans="1:9" x14ac:dyDescent="0.15">
      <c r="A42" s="6">
        <v>906</v>
      </c>
      <c r="B42" s="6">
        <v>0.83</v>
      </c>
      <c r="C42" s="6">
        <v>-0.83</v>
      </c>
      <c r="D42" s="6">
        <v>-24.6</v>
      </c>
      <c r="E42" s="6" t="s">
        <v>12</v>
      </c>
      <c r="F42" s="6" t="s">
        <v>414</v>
      </c>
      <c r="G42" s="6" t="s">
        <v>412</v>
      </c>
    </row>
    <row r="43" spans="1:9" x14ac:dyDescent="0.15">
      <c r="A43" s="6">
        <v>-9</v>
      </c>
    </row>
    <row r="44" spans="1:9" x14ac:dyDescent="0.15">
      <c r="A44" s="6">
        <v>-9</v>
      </c>
    </row>
    <row r="47" spans="1:9" x14ac:dyDescent="0.15">
      <c r="A47" s="6" t="s">
        <v>12</v>
      </c>
      <c r="B47" s="6">
        <v>1</v>
      </c>
      <c r="C47" s="6" t="s">
        <v>1</v>
      </c>
      <c r="D47" s="6" t="s">
        <v>344</v>
      </c>
      <c r="I47" s="6" t="s">
        <v>480</v>
      </c>
    </row>
    <row r="48" spans="1:9" x14ac:dyDescent="0.15">
      <c r="A48" s="6" t="s">
        <v>12</v>
      </c>
      <c r="B48" s="6">
        <v>2</v>
      </c>
      <c r="C48" s="6" t="s">
        <v>72</v>
      </c>
      <c r="D48" s="6" t="s">
        <v>345</v>
      </c>
      <c r="G48" s="6" t="s">
        <v>348</v>
      </c>
    </row>
    <row r="49" spans="1:7" x14ac:dyDescent="0.15">
      <c r="A49" s="6" t="s">
        <v>12</v>
      </c>
      <c r="B49" s="6">
        <v>3</v>
      </c>
      <c r="C49" s="6" t="s">
        <v>73</v>
      </c>
      <c r="D49" s="6" t="s">
        <v>346</v>
      </c>
      <c r="G49" s="6" t="s">
        <v>503</v>
      </c>
    </row>
    <row r="50" spans="1:7" x14ac:dyDescent="0.15">
      <c r="A50" s="6" t="s">
        <v>12</v>
      </c>
      <c r="B50" s="6">
        <v>4</v>
      </c>
      <c r="C50" s="6" t="s">
        <v>74</v>
      </c>
      <c r="D50" s="6" t="s">
        <v>347</v>
      </c>
      <c r="G50" s="6" t="s">
        <v>337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BF63"/>
  <sheetViews>
    <sheetView tabSelected="1" topLeftCell="AU1" workbookViewId="0">
      <selection activeCell="BB10" sqref="BB10"/>
    </sheetView>
  </sheetViews>
  <sheetFormatPr baseColWidth="10" defaultColWidth="8.83203125" defaultRowHeight="14" x14ac:dyDescent="0.15"/>
  <cols>
    <col min="1" max="16384" width="8.83203125" style="88"/>
  </cols>
  <sheetData>
    <row r="1" spans="1:58" x14ac:dyDescent="0.15">
      <c r="A1" s="87">
        <v>1</v>
      </c>
      <c r="B1" s="87">
        <v>2</v>
      </c>
      <c r="C1" s="87">
        <v>3</v>
      </c>
      <c r="D1" s="87">
        <v>4</v>
      </c>
      <c r="E1" s="87">
        <v>5</v>
      </c>
      <c r="F1" s="87">
        <v>6</v>
      </c>
      <c r="G1" s="87">
        <v>7</v>
      </c>
      <c r="H1" s="87">
        <v>8</v>
      </c>
      <c r="I1" s="87">
        <v>9</v>
      </c>
      <c r="J1" s="87">
        <v>10</v>
      </c>
      <c r="K1" s="87">
        <v>11</v>
      </c>
      <c r="L1" s="87">
        <v>12</v>
      </c>
      <c r="M1" s="87">
        <v>13</v>
      </c>
      <c r="N1" s="87">
        <v>14</v>
      </c>
      <c r="O1" s="87">
        <v>15</v>
      </c>
      <c r="P1" s="87">
        <v>16</v>
      </c>
      <c r="Q1" s="87">
        <f>P1+1</f>
        <v>17</v>
      </c>
      <c r="R1" s="87">
        <f t="shared" ref="R1:AZ1" si="0">Q1+1</f>
        <v>18</v>
      </c>
      <c r="S1" s="87">
        <f t="shared" si="0"/>
        <v>19</v>
      </c>
      <c r="T1" s="87">
        <f t="shared" si="0"/>
        <v>20</v>
      </c>
      <c r="U1" s="87">
        <f t="shared" si="0"/>
        <v>21</v>
      </c>
      <c r="V1" s="87">
        <f t="shared" si="0"/>
        <v>22</v>
      </c>
      <c r="W1" s="87">
        <f t="shared" si="0"/>
        <v>23</v>
      </c>
      <c r="X1" s="87">
        <f t="shared" si="0"/>
        <v>24</v>
      </c>
      <c r="Y1" s="87">
        <f t="shared" si="0"/>
        <v>25</v>
      </c>
      <c r="Z1" s="87">
        <f t="shared" si="0"/>
        <v>26</v>
      </c>
      <c r="AA1" s="87">
        <f t="shared" si="0"/>
        <v>27</v>
      </c>
      <c r="AB1" s="87">
        <f t="shared" si="0"/>
        <v>28</v>
      </c>
      <c r="AC1" s="87">
        <f t="shared" si="0"/>
        <v>29</v>
      </c>
      <c r="AD1" s="87">
        <f t="shared" si="0"/>
        <v>30</v>
      </c>
      <c r="AE1" s="87">
        <f t="shared" si="0"/>
        <v>31</v>
      </c>
      <c r="AF1" s="87">
        <f t="shared" si="0"/>
        <v>32</v>
      </c>
      <c r="AG1" s="87">
        <f t="shared" si="0"/>
        <v>33</v>
      </c>
      <c r="AH1" s="87">
        <f t="shared" si="0"/>
        <v>34</v>
      </c>
      <c r="AI1" s="87">
        <f t="shared" si="0"/>
        <v>35</v>
      </c>
      <c r="AJ1" s="87">
        <f t="shared" si="0"/>
        <v>36</v>
      </c>
      <c r="AK1" s="87">
        <f t="shared" si="0"/>
        <v>37</v>
      </c>
      <c r="AL1" s="87">
        <f t="shared" si="0"/>
        <v>38</v>
      </c>
      <c r="AM1" s="87">
        <f t="shared" si="0"/>
        <v>39</v>
      </c>
      <c r="AN1" s="87">
        <f t="shared" si="0"/>
        <v>40</v>
      </c>
      <c r="AO1" s="87">
        <f t="shared" si="0"/>
        <v>41</v>
      </c>
      <c r="AP1" s="87">
        <f t="shared" si="0"/>
        <v>42</v>
      </c>
      <c r="AQ1" s="87">
        <f t="shared" si="0"/>
        <v>43</v>
      </c>
      <c r="AR1" s="87">
        <f t="shared" si="0"/>
        <v>44</v>
      </c>
      <c r="AS1" s="87">
        <f t="shared" si="0"/>
        <v>45</v>
      </c>
      <c r="AT1" s="87">
        <f t="shared" si="0"/>
        <v>46</v>
      </c>
      <c r="AU1" s="87">
        <f t="shared" si="0"/>
        <v>47</v>
      </c>
      <c r="AV1" s="87">
        <f t="shared" si="0"/>
        <v>48</v>
      </c>
      <c r="AW1" s="87">
        <f t="shared" si="0"/>
        <v>49</v>
      </c>
      <c r="AX1" s="87">
        <f t="shared" si="0"/>
        <v>50</v>
      </c>
      <c r="AY1" s="87">
        <f t="shared" si="0"/>
        <v>51</v>
      </c>
      <c r="AZ1" s="87">
        <f t="shared" si="0"/>
        <v>52</v>
      </c>
      <c r="BA1" s="87">
        <v>53</v>
      </c>
    </row>
    <row r="2" spans="1:58" x14ac:dyDescent="0.15">
      <c r="A2" s="87" t="s">
        <v>1</v>
      </c>
      <c r="B2" s="87" t="s">
        <v>571</v>
      </c>
      <c r="C2" s="87" t="s">
        <v>572</v>
      </c>
      <c r="D2" s="87" t="s">
        <v>573</v>
      </c>
      <c r="E2" s="87" t="s">
        <v>574</v>
      </c>
      <c r="F2" s="87" t="s">
        <v>575</v>
      </c>
      <c r="G2" s="87" t="s">
        <v>576</v>
      </c>
      <c r="H2" s="87" t="s">
        <v>577</v>
      </c>
      <c r="I2" s="87" t="s">
        <v>578</v>
      </c>
      <c r="J2" s="87" t="s">
        <v>579</v>
      </c>
      <c r="K2" s="87" t="s">
        <v>580</v>
      </c>
      <c r="L2" s="87" t="s">
        <v>581</v>
      </c>
      <c r="M2" s="87" t="s">
        <v>582</v>
      </c>
      <c r="N2" s="87" t="s">
        <v>583</v>
      </c>
      <c r="O2" s="87" t="s">
        <v>584</v>
      </c>
      <c r="P2" s="87" t="s">
        <v>585</v>
      </c>
      <c r="Q2" s="87" t="s">
        <v>571</v>
      </c>
      <c r="R2" s="87" t="s">
        <v>572</v>
      </c>
      <c r="S2" s="87" t="s">
        <v>573</v>
      </c>
      <c r="T2" s="87" t="s">
        <v>574</v>
      </c>
      <c r="U2" s="87" t="s">
        <v>575</v>
      </c>
      <c r="V2" s="87" t="s">
        <v>576</v>
      </c>
      <c r="W2" s="87" t="s">
        <v>577</v>
      </c>
      <c r="X2" s="87" t="s">
        <v>578</v>
      </c>
      <c r="Y2" s="87" t="s">
        <v>579</v>
      </c>
      <c r="Z2" s="87" t="s">
        <v>580</v>
      </c>
      <c r="AA2" s="87" t="s">
        <v>581</v>
      </c>
      <c r="AB2" s="87" t="s">
        <v>582</v>
      </c>
      <c r="AC2" s="87" t="s">
        <v>583</v>
      </c>
      <c r="AD2" s="87" t="s">
        <v>584</v>
      </c>
      <c r="AE2" s="87" t="s">
        <v>585</v>
      </c>
      <c r="AF2" s="87" t="s">
        <v>571</v>
      </c>
      <c r="AG2" s="87" t="s">
        <v>572</v>
      </c>
      <c r="AH2" s="87" t="s">
        <v>573</v>
      </c>
      <c r="AI2" s="87" t="s">
        <v>574</v>
      </c>
      <c r="AJ2" s="87" t="s">
        <v>575</v>
      </c>
      <c r="AK2" s="87" t="s">
        <v>576</v>
      </c>
      <c r="AL2" s="87" t="s">
        <v>577</v>
      </c>
      <c r="AM2" s="87" t="s">
        <v>578</v>
      </c>
      <c r="AN2" s="87" t="s">
        <v>579</v>
      </c>
      <c r="AO2" s="87" t="s">
        <v>580</v>
      </c>
      <c r="AP2" s="87" t="s">
        <v>581</v>
      </c>
      <c r="AQ2" s="87" t="s">
        <v>582</v>
      </c>
      <c r="AR2" s="87" t="s">
        <v>583</v>
      </c>
      <c r="AS2" s="87" t="s">
        <v>584</v>
      </c>
      <c r="AT2" s="87" t="s">
        <v>585</v>
      </c>
      <c r="AU2" s="87" t="s">
        <v>586</v>
      </c>
      <c r="AV2" s="87" t="s">
        <v>587</v>
      </c>
      <c r="AW2" s="87" t="s">
        <v>588</v>
      </c>
      <c r="AX2" s="87" t="s">
        <v>589</v>
      </c>
      <c r="AY2" s="87" t="s">
        <v>590</v>
      </c>
      <c r="AZ2" s="87" t="s">
        <v>619</v>
      </c>
      <c r="BA2" s="87" t="s">
        <v>620</v>
      </c>
    </row>
    <row r="3" spans="1:58" ht="16" x14ac:dyDescent="0.2">
      <c r="A3" s="88">
        <v>201</v>
      </c>
      <c r="B3" s="88">
        <v>0.03</v>
      </c>
      <c r="C3" s="88">
        <v>0.74</v>
      </c>
      <c r="D3" s="88">
        <v>1900000</v>
      </c>
      <c r="E3" s="88">
        <v>0.12</v>
      </c>
      <c r="F3" s="88">
        <v>0.93</v>
      </c>
      <c r="G3" s="88">
        <v>1500000</v>
      </c>
      <c r="H3" s="88">
        <v>0.05</v>
      </c>
      <c r="I3" s="88">
        <v>0.06</v>
      </c>
      <c r="J3" s="88">
        <v>70000</v>
      </c>
      <c r="K3" s="88">
        <v>-999</v>
      </c>
      <c r="L3" s="88">
        <v>-999</v>
      </c>
      <c r="M3" s="88">
        <v>-999</v>
      </c>
      <c r="N3" s="88">
        <v>-999</v>
      </c>
      <c r="O3" s="88">
        <v>-999</v>
      </c>
      <c r="P3" s="88">
        <v>-999</v>
      </c>
      <c r="Q3" s="88">
        <v>0.1</v>
      </c>
      <c r="R3" s="88">
        <v>0.95</v>
      </c>
      <c r="S3" s="88">
        <v>1600000</v>
      </c>
      <c r="T3" s="88">
        <v>0.1</v>
      </c>
      <c r="U3" s="88">
        <v>0.95</v>
      </c>
      <c r="V3" s="88">
        <v>1600000</v>
      </c>
      <c r="W3" s="88">
        <v>0.1</v>
      </c>
      <c r="X3" s="88">
        <v>0.95</v>
      </c>
      <c r="Y3" s="88">
        <v>1600000</v>
      </c>
      <c r="Z3" s="88">
        <v>-999</v>
      </c>
      <c r="AA3" s="88">
        <v>-999</v>
      </c>
      <c r="AB3" s="88">
        <v>-999</v>
      </c>
      <c r="AC3" s="88">
        <v>-999</v>
      </c>
      <c r="AD3" s="88">
        <v>-999</v>
      </c>
      <c r="AE3" s="88">
        <v>-999</v>
      </c>
      <c r="AF3" s="88">
        <v>0.05</v>
      </c>
      <c r="AG3" s="88">
        <v>0.93</v>
      </c>
      <c r="AH3" s="88">
        <v>1500000</v>
      </c>
      <c r="AI3" s="88">
        <v>0.05</v>
      </c>
      <c r="AJ3" s="88">
        <v>0.93</v>
      </c>
      <c r="AK3" s="88">
        <v>1500000</v>
      </c>
      <c r="AL3" s="88">
        <v>0.05</v>
      </c>
      <c r="AM3" s="88">
        <v>0.93</v>
      </c>
      <c r="AN3" s="88">
        <v>1500000</v>
      </c>
      <c r="AO3" s="88">
        <v>-999</v>
      </c>
      <c r="AP3" s="88">
        <v>-999</v>
      </c>
      <c r="AQ3" s="88">
        <v>-999</v>
      </c>
      <c r="AR3" s="88">
        <v>-999</v>
      </c>
      <c r="AS3" s="88">
        <v>-999</v>
      </c>
      <c r="AT3" s="88">
        <v>-999</v>
      </c>
      <c r="AU3" s="88">
        <v>10</v>
      </c>
      <c r="AV3" s="88">
        <v>0.2</v>
      </c>
      <c r="AW3" s="88">
        <v>1</v>
      </c>
      <c r="AX3" s="88">
        <v>1E-3</v>
      </c>
      <c r="AY3" s="88">
        <v>1E-3</v>
      </c>
      <c r="AZ3" s="88">
        <v>1E-3</v>
      </c>
      <c r="BA3" s="88">
        <v>1.08</v>
      </c>
      <c r="BB3" s="88" t="s">
        <v>591</v>
      </c>
      <c r="BD3" s="89" t="s">
        <v>592</v>
      </c>
      <c r="BF3" s="88" t="s">
        <v>593</v>
      </c>
    </row>
    <row r="4" spans="1:58" x14ac:dyDescent="0.15">
      <c r="A4" s="88">
        <v>799</v>
      </c>
      <c r="B4" s="88">
        <v>0.2</v>
      </c>
      <c r="C4" s="88">
        <v>0.5</v>
      </c>
      <c r="D4" s="88">
        <v>840000</v>
      </c>
      <c r="E4" s="88">
        <v>0.1</v>
      </c>
      <c r="F4" s="88">
        <v>0.03</v>
      </c>
      <c r="G4" s="88">
        <v>56000</v>
      </c>
      <c r="H4" s="88">
        <v>0.05</v>
      </c>
      <c r="I4" s="88">
        <v>0.14000000000000001</v>
      </c>
      <c r="J4" s="88">
        <v>780000</v>
      </c>
      <c r="K4" s="88">
        <v>-999</v>
      </c>
      <c r="L4" s="88">
        <v>-999</v>
      </c>
      <c r="M4" s="88">
        <v>-999</v>
      </c>
      <c r="N4" s="88">
        <v>-999</v>
      </c>
      <c r="O4" s="88">
        <v>-999</v>
      </c>
      <c r="P4" s="88">
        <v>-999</v>
      </c>
      <c r="Q4" s="88">
        <v>0.05</v>
      </c>
      <c r="R4" s="88">
        <v>0.31</v>
      </c>
      <c r="S4" s="88">
        <v>877000</v>
      </c>
      <c r="T4" s="88">
        <v>0.05</v>
      </c>
      <c r="U4" s="88">
        <v>0.31</v>
      </c>
      <c r="V4" s="88">
        <v>877000</v>
      </c>
      <c r="W4" s="88">
        <v>0.05</v>
      </c>
      <c r="X4" s="88">
        <v>0.31</v>
      </c>
      <c r="Y4" s="88">
        <v>877000</v>
      </c>
      <c r="Z4" s="88">
        <v>-999</v>
      </c>
      <c r="AA4" s="88">
        <v>-999</v>
      </c>
      <c r="AB4" s="88">
        <v>-999</v>
      </c>
      <c r="AC4" s="88">
        <v>-999</v>
      </c>
      <c r="AD4" s="88">
        <v>-999</v>
      </c>
      <c r="AE4" s="88">
        <v>-999</v>
      </c>
      <c r="AF4" s="88">
        <v>3.5000000000000003E-2</v>
      </c>
      <c r="AG4" s="88">
        <v>0.5</v>
      </c>
      <c r="AH4" s="88">
        <v>1000000</v>
      </c>
      <c r="AI4" s="88">
        <v>3.5000000000000003E-2</v>
      </c>
      <c r="AJ4" s="88">
        <v>0.5</v>
      </c>
      <c r="AK4" s="88">
        <v>1000000</v>
      </c>
      <c r="AL4" s="88">
        <v>3.5000000000000003E-2</v>
      </c>
      <c r="AM4" s="88">
        <v>0.5</v>
      </c>
      <c r="AN4" s="88">
        <v>1000000</v>
      </c>
      <c r="AO4" s="88">
        <v>-999</v>
      </c>
      <c r="AP4" s="88">
        <v>-999</v>
      </c>
      <c r="AQ4" s="88">
        <v>-999</v>
      </c>
      <c r="AR4" s="88">
        <v>-999</v>
      </c>
      <c r="AS4" s="88">
        <v>-999</v>
      </c>
      <c r="AT4" s="88">
        <v>-999</v>
      </c>
      <c r="AU4" s="88">
        <v>20</v>
      </c>
      <c r="AV4" s="88">
        <v>0.5</v>
      </c>
      <c r="AW4" s="88">
        <v>1</v>
      </c>
      <c r="AX4" s="88">
        <v>1.5E-3</v>
      </c>
      <c r="AY4" s="88">
        <v>1.5E-3</v>
      </c>
      <c r="AZ4" s="88">
        <v>1.5E-3</v>
      </c>
      <c r="BA4" s="88">
        <v>1.08</v>
      </c>
      <c r="BB4" s="88" t="s">
        <v>591</v>
      </c>
      <c r="BD4" s="88" t="s">
        <v>594</v>
      </c>
      <c r="BF4" s="88" t="s">
        <v>595</v>
      </c>
    </row>
    <row r="5" spans="1:58" ht="16" x14ac:dyDescent="0.2">
      <c r="A5" s="88">
        <v>501</v>
      </c>
      <c r="B5" s="88">
        <v>0.1</v>
      </c>
      <c r="C5" s="88">
        <v>0.76</v>
      </c>
      <c r="D5" s="88">
        <v>1500000</v>
      </c>
      <c r="E5" s="88">
        <v>0.25</v>
      </c>
      <c r="F5" s="88">
        <v>0.74</v>
      </c>
      <c r="G5" s="88">
        <v>1900000</v>
      </c>
      <c r="H5" s="88">
        <v>1</v>
      </c>
      <c r="I5" s="88">
        <v>0.63</v>
      </c>
      <c r="J5" s="88">
        <v>1200000</v>
      </c>
      <c r="K5" s="88">
        <v>3</v>
      </c>
      <c r="L5" s="88">
        <v>0.63</v>
      </c>
      <c r="M5" s="88">
        <v>1200000</v>
      </c>
      <c r="N5" s="88">
        <v>-999</v>
      </c>
      <c r="O5" s="88">
        <v>-999</v>
      </c>
      <c r="P5" s="88">
        <v>-999</v>
      </c>
      <c r="Q5" s="88">
        <v>-999</v>
      </c>
      <c r="R5" s="88">
        <v>-999</v>
      </c>
      <c r="S5" s="88">
        <v>-999</v>
      </c>
      <c r="T5" s="88">
        <v>-999</v>
      </c>
      <c r="U5" s="88">
        <v>-999</v>
      </c>
      <c r="V5" s="88">
        <v>-999</v>
      </c>
      <c r="W5" s="88">
        <v>-999</v>
      </c>
      <c r="X5" s="88">
        <v>-999</v>
      </c>
      <c r="Y5" s="88">
        <v>-999</v>
      </c>
      <c r="Z5" s="88">
        <v>-999</v>
      </c>
      <c r="AA5" s="88">
        <v>-999</v>
      </c>
      <c r="AB5" s="88">
        <v>-999</v>
      </c>
      <c r="AC5" s="88">
        <v>-999</v>
      </c>
      <c r="AD5" s="88">
        <v>-999</v>
      </c>
      <c r="AE5" s="88">
        <v>-999</v>
      </c>
      <c r="AF5" s="88">
        <v>-999</v>
      </c>
      <c r="AG5" s="88">
        <v>-999</v>
      </c>
      <c r="AH5" s="88">
        <v>-999</v>
      </c>
      <c r="AI5" s="88">
        <v>-999</v>
      </c>
      <c r="AJ5" s="88">
        <v>-999</v>
      </c>
      <c r="AK5" s="88">
        <v>-999</v>
      </c>
      <c r="AL5" s="88">
        <v>-999</v>
      </c>
      <c r="AM5" s="88">
        <v>-999</v>
      </c>
      <c r="AN5" s="88">
        <v>-999</v>
      </c>
      <c r="AO5" s="88">
        <v>-999</v>
      </c>
      <c r="AP5" s="88">
        <v>-999</v>
      </c>
      <c r="AQ5" s="88">
        <v>-999</v>
      </c>
      <c r="AR5" s="88">
        <v>-999</v>
      </c>
      <c r="AS5" s="88">
        <v>-999</v>
      </c>
      <c r="AT5" s="88">
        <v>-999</v>
      </c>
      <c r="AU5" s="88">
        <v>-999</v>
      </c>
      <c r="AV5" s="88">
        <v>-999</v>
      </c>
      <c r="AW5" s="88">
        <v>-999</v>
      </c>
      <c r="AX5" s="88">
        <v>-999</v>
      </c>
      <c r="AY5" s="88">
        <v>-999</v>
      </c>
      <c r="AZ5" s="88">
        <v>-999</v>
      </c>
      <c r="BA5" s="88">
        <v>-999</v>
      </c>
      <c r="BB5" s="88" t="s">
        <v>596</v>
      </c>
      <c r="BD5" s="89" t="s">
        <v>592</v>
      </c>
      <c r="BF5" s="88" t="s">
        <v>593</v>
      </c>
    </row>
    <row r="6" spans="1:58" x14ac:dyDescent="0.15">
      <c r="A6" s="88">
        <v>800</v>
      </c>
      <c r="B6" s="88">
        <v>0.1</v>
      </c>
      <c r="C6" s="88">
        <v>0.65</v>
      </c>
      <c r="D6" s="88">
        <v>1500000</v>
      </c>
      <c r="E6" s="88">
        <v>0.1</v>
      </c>
      <c r="F6" s="88">
        <v>0.93</v>
      </c>
      <c r="G6" s="88">
        <v>1500000</v>
      </c>
      <c r="H6" s="88">
        <v>1</v>
      </c>
      <c r="I6" s="88">
        <v>0.63</v>
      </c>
      <c r="J6" s="88">
        <v>1200000</v>
      </c>
      <c r="K6" s="88">
        <v>3</v>
      </c>
      <c r="L6" s="88">
        <v>0.63</v>
      </c>
      <c r="M6" s="88">
        <v>1200000</v>
      </c>
      <c r="N6" s="88">
        <v>-999</v>
      </c>
      <c r="O6" s="88">
        <v>-999</v>
      </c>
      <c r="P6" s="88">
        <v>-999</v>
      </c>
      <c r="Q6" s="88">
        <v>-999</v>
      </c>
      <c r="R6" s="88">
        <v>-999</v>
      </c>
      <c r="S6" s="88">
        <v>-999</v>
      </c>
      <c r="T6" s="88">
        <v>-999</v>
      </c>
      <c r="U6" s="88">
        <v>-999</v>
      </c>
      <c r="V6" s="88">
        <v>-999</v>
      </c>
      <c r="W6" s="88">
        <v>-999</v>
      </c>
      <c r="X6" s="88">
        <v>-999</v>
      </c>
      <c r="Y6" s="88">
        <v>-999</v>
      </c>
      <c r="Z6" s="88">
        <v>-999</v>
      </c>
      <c r="AA6" s="88">
        <v>-999</v>
      </c>
      <c r="AB6" s="88">
        <v>-999</v>
      </c>
      <c r="AC6" s="88">
        <v>-999</v>
      </c>
      <c r="AD6" s="88">
        <v>-999</v>
      </c>
      <c r="AE6" s="88">
        <v>-999</v>
      </c>
      <c r="AF6" s="88">
        <v>-999</v>
      </c>
      <c r="AG6" s="88">
        <v>-999</v>
      </c>
      <c r="AH6" s="88">
        <v>-999</v>
      </c>
      <c r="AI6" s="88">
        <v>-999</v>
      </c>
      <c r="AJ6" s="88">
        <v>-999</v>
      </c>
      <c r="AK6" s="88">
        <v>-999</v>
      </c>
      <c r="AL6" s="88">
        <v>-999</v>
      </c>
      <c r="AM6" s="88">
        <v>-999</v>
      </c>
      <c r="AN6" s="88">
        <v>-999</v>
      </c>
      <c r="AO6" s="88">
        <v>-999</v>
      </c>
      <c r="AP6" s="88">
        <v>-999</v>
      </c>
      <c r="AQ6" s="88">
        <v>-999</v>
      </c>
      <c r="AR6" s="88">
        <v>-999</v>
      </c>
      <c r="AS6" s="88">
        <v>-999</v>
      </c>
      <c r="AT6" s="88">
        <v>-999</v>
      </c>
      <c r="AU6" s="88">
        <v>-999</v>
      </c>
      <c r="AV6" s="88">
        <v>-999</v>
      </c>
      <c r="AW6" s="88">
        <v>-999</v>
      </c>
      <c r="AX6" s="88">
        <v>-999</v>
      </c>
      <c r="AY6" s="88">
        <v>-999</v>
      </c>
      <c r="AZ6" s="88">
        <v>-999</v>
      </c>
      <c r="BA6" s="88">
        <v>-999</v>
      </c>
      <c r="BB6" s="88" t="s">
        <v>596</v>
      </c>
      <c r="BD6" s="88" t="s">
        <v>594</v>
      </c>
      <c r="BF6" s="88" t="s">
        <v>595</v>
      </c>
    </row>
    <row r="7" spans="1:58" x14ac:dyDescent="0.15">
      <c r="A7" s="88">
        <v>-9</v>
      </c>
    </row>
    <row r="8" spans="1:58" x14ac:dyDescent="0.15">
      <c r="A8" s="88">
        <v>-9</v>
      </c>
    </row>
    <row r="10" spans="1:58" x14ac:dyDescent="0.15">
      <c r="A10" s="88" t="s">
        <v>12</v>
      </c>
      <c r="E10" s="88" t="s">
        <v>621</v>
      </c>
      <c r="F10" s="88" t="s">
        <v>622</v>
      </c>
    </row>
    <row r="11" spans="1:58" x14ac:dyDescent="0.15">
      <c r="A11" s="88" t="s">
        <v>12</v>
      </c>
      <c r="C11" s="88">
        <v>1</v>
      </c>
      <c r="D11" s="88" t="s">
        <v>1</v>
      </c>
    </row>
    <row r="12" spans="1:58" x14ac:dyDescent="0.15">
      <c r="A12" s="88" t="s">
        <v>12</v>
      </c>
      <c r="C12" s="88">
        <f>C11+1</f>
        <v>2</v>
      </c>
      <c r="D12" s="88" t="s">
        <v>571</v>
      </c>
      <c r="E12" s="88" t="s">
        <v>623</v>
      </c>
      <c r="G12" s="88" t="s">
        <v>597</v>
      </c>
    </row>
    <row r="13" spans="1:58" x14ac:dyDescent="0.15">
      <c r="A13" s="88" t="s">
        <v>12</v>
      </c>
      <c r="C13" s="88">
        <f t="shared" ref="C13:C62" si="1">C12+1</f>
        <v>3</v>
      </c>
      <c r="D13" s="88" t="s">
        <v>572</v>
      </c>
      <c r="G13" s="88" t="s">
        <v>598</v>
      </c>
    </row>
    <row r="14" spans="1:58" x14ac:dyDescent="0.15">
      <c r="A14" s="88" t="s">
        <v>12</v>
      </c>
      <c r="C14" s="88">
        <f t="shared" si="1"/>
        <v>4</v>
      </c>
      <c r="D14" s="88" t="s">
        <v>573</v>
      </c>
      <c r="G14" s="88" t="s">
        <v>599</v>
      </c>
    </row>
    <row r="15" spans="1:58" x14ac:dyDescent="0.15">
      <c r="A15" s="88" t="s">
        <v>12</v>
      </c>
      <c r="C15" s="88">
        <f t="shared" si="1"/>
        <v>5</v>
      </c>
      <c r="D15" s="88" t="s">
        <v>574</v>
      </c>
      <c r="G15" s="88" t="s">
        <v>600</v>
      </c>
    </row>
    <row r="16" spans="1:58" x14ac:dyDescent="0.15">
      <c r="A16" s="88" t="s">
        <v>12</v>
      </c>
      <c r="C16" s="88">
        <f t="shared" si="1"/>
        <v>6</v>
      </c>
      <c r="D16" s="88" t="s">
        <v>575</v>
      </c>
      <c r="G16" s="88" t="s">
        <v>601</v>
      </c>
    </row>
    <row r="17" spans="1:7" x14ac:dyDescent="0.15">
      <c r="A17" s="88" t="s">
        <v>12</v>
      </c>
      <c r="C17" s="88">
        <f t="shared" si="1"/>
        <v>7</v>
      </c>
      <c r="D17" s="88" t="s">
        <v>576</v>
      </c>
      <c r="G17" s="88" t="s">
        <v>602</v>
      </c>
    </row>
    <row r="18" spans="1:7" x14ac:dyDescent="0.15">
      <c r="A18" s="88" t="s">
        <v>12</v>
      </c>
      <c r="C18" s="88">
        <f t="shared" si="1"/>
        <v>8</v>
      </c>
      <c r="D18" s="88" t="s">
        <v>577</v>
      </c>
      <c r="G18" s="88" t="s">
        <v>603</v>
      </c>
    </row>
    <row r="19" spans="1:7" x14ac:dyDescent="0.15">
      <c r="A19" s="88" t="s">
        <v>12</v>
      </c>
      <c r="C19" s="88">
        <f t="shared" si="1"/>
        <v>9</v>
      </c>
      <c r="D19" s="88" t="s">
        <v>578</v>
      </c>
      <c r="G19" s="88" t="s">
        <v>604</v>
      </c>
    </row>
    <row r="20" spans="1:7" x14ac:dyDescent="0.15">
      <c r="A20" s="88" t="s">
        <v>12</v>
      </c>
      <c r="C20" s="88">
        <f t="shared" si="1"/>
        <v>10</v>
      </c>
      <c r="D20" s="88" t="s">
        <v>579</v>
      </c>
      <c r="G20" s="88" t="s">
        <v>605</v>
      </c>
    </row>
    <row r="21" spans="1:7" x14ac:dyDescent="0.15">
      <c r="A21" s="88" t="s">
        <v>12</v>
      </c>
      <c r="C21" s="88">
        <f t="shared" si="1"/>
        <v>11</v>
      </c>
      <c r="D21" s="88" t="s">
        <v>580</v>
      </c>
      <c r="G21" s="88" t="s">
        <v>606</v>
      </c>
    </row>
    <row r="22" spans="1:7" x14ac:dyDescent="0.15">
      <c r="A22" s="88" t="s">
        <v>12</v>
      </c>
      <c r="C22" s="88">
        <f t="shared" si="1"/>
        <v>12</v>
      </c>
      <c r="D22" s="88" t="s">
        <v>581</v>
      </c>
      <c r="G22" s="88" t="s">
        <v>607</v>
      </c>
    </row>
    <row r="23" spans="1:7" x14ac:dyDescent="0.15">
      <c r="A23" s="88" t="s">
        <v>12</v>
      </c>
      <c r="C23" s="88">
        <f t="shared" si="1"/>
        <v>13</v>
      </c>
      <c r="D23" s="88" t="s">
        <v>582</v>
      </c>
      <c r="G23" s="88" t="s">
        <v>608</v>
      </c>
    </row>
    <row r="24" spans="1:7" x14ac:dyDescent="0.15">
      <c r="A24" s="88" t="s">
        <v>12</v>
      </c>
      <c r="C24" s="88">
        <f t="shared" si="1"/>
        <v>14</v>
      </c>
      <c r="D24" s="88" t="s">
        <v>583</v>
      </c>
      <c r="G24" s="88" t="s">
        <v>609</v>
      </c>
    </row>
    <row r="25" spans="1:7" x14ac:dyDescent="0.15">
      <c r="A25" s="88" t="s">
        <v>12</v>
      </c>
      <c r="C25" s="88">
        <f t="shared" si="1"/>
        <v>15</v>
      </c>
      <c r="D25" s="88" t="s">
        <v>584</v>
      </c>
      <c r="G25" s="88" t="s">
        <v>610</v>
      </c>
    </row>
    <row r="26" spans="1:7" x14ac:dyDescent="0.15">
      <c r="A26" s="88" t="s">
        <v>12</v>
      </c>
      <c r="C26" s="88">
        <f t="shared" si="1"/>
        <v>16</v>
      </c>
      <c r="D26" s="88" t="s">
        <v>585</v>
      </c>
      <c r="G26" s="88" t="s">
        <v>611</v>
      </c>
    </row>
    <row r="27" spans="1:7" x14ac:dyDescent="0.15">
      <c r="A27" s="88" t="s">
        <v>12</v>
      </c>
      <c r="C27" s="88">
        <f t="shared" si="1"/>
        <v>17</v>
      </c>
      <c r="D27" s="88" t="s">
        <v>571</v>
      </c>
      <c r="E27" s="88" t="s">
        <v>624</v>
      </c>
      <c r="F27" s="88" t="s">
        <v>625</v>
      </c>
      <c r="G27" s="88" t="s">
        <v>597</v>
      </c>
    </row>
    <row r="28" spans="1:7" x14ac:dyDescent="0.15">
      <c r="A28" s="88" t="s">
        <v>12</v>
      </c>
      <c r="C28" s="88">
        <f t="shared" si="1"/>
        <v>18</v>
      </c>
      <c r="D28" s="88" t="s">
        <v>572</v>
      </c>
      <c r="F28" s="88" t="s">
        <v>625</v>
      </c>
      <c r="G28" s="88" t="s">
        <v>598</v>
      </c>
    </row>
    <row r="29" spans="1:7" x14ac:dyDescent="0.15">
      <c r="A29" s="88" t="s">
        <v>12</v>
      </c>
      <c r="C29" s="88">
        <f t="shared" si="1"/>
        <v>19</v>
      </c>
      <c r="D29" s="88" t="s">
        <v>573</v>
      </c>
      <c r="F29" s="88" t="s">
        <v>625</v>
      </c>
      <c r="G29" s="88" t="s">
        <v>599</v>
      </c>
    </row>
    <row r="30" spans="1:7" x14ac:dyDescent="0.15">
      <c r="A30" s="88" t="s">
        <v>12</v>
      </c>
      <c r="C30" s="88">
        <f t="shared" si="1"/>
        <v>20</v>
      </c>
      <c r="D30" s="88" t="s">
        <v>574</v>
      </c>
      <c r="F30" s="88" t="s">
        <v>625</v>
      </c>
      <c r="G30" s="88" t="s">
        <v>600</v>
      </c>
    </row>
    <row r="31" spans="1:7" x14ac:dyDescent="0.15">
      <c r="A31" s="88" t="s">
        <v>12</v>
      </c>
      <c r="C31" s="88">
        <f t="shared" si="1"/>
        <v>21</v>
      </c>
      <c r="D31" s="88" t="s">
        <v>575</v>
      </c>
      <c r="F31" s="88" t="s">
        <v>625</v>
      </c>
      <c r="G31" s="88" t="s">
        <v>601</v>
      </c>
    </row>
    <row r="32" spans="1:7" x14ac:dyDescent="0.15">
      <c r="A32" s="88" t="s">
        <v>12</v>
      </c>
      <c r="C32" s="88">
        <f t="shared" si="1"/>
        <v>22</v>
      </c>
      <c r="D32" s="88" t="s">
        <v>576</v>
      </c>
      <c r="F32" s="88" t="s">
        <v>625</v>
      </c>
      <c r="G32" s="88" t="s">
        <v>602</v>
      </c>
    </row>
    <row r="33" spans="1:7" x14ac:dyDescent="0.15">
      <c r="A33" s="88" t="s">
        <v>12</v>
      </c>
      <c r="C33" s="88">
        <f t="shared" si="1"/>
        <v>23</v>
      </c>
      <c r="D33" s="88" t="s">
        <v>577</v>
      </c>
      <c r="F33" s="88" t="s">
        <v>625</v>
      </c>
      <c r="G33" s="88" t="s">
        <v>603</v>
      </c>
    </row>
    <row r="34" spans="1:7" x14ac:dyDescent="0.15">
      <c r="A34" s="88" t="s">
        <v>12</v>
      </c>
      <c r="C34" s="88">
        <f t="shared" si="1"/>
        <v>24</v>
      </c>
      <c r="D34" s="88" t="s">
        <v>578</v>
      </c>
      <c r="F34" s="88" t="s">
        <v>625</v>
      </c>
      <c r="G34" s="88" t="s">
        <v>604</v>
      </c>
    </row>
    <row r="35" spans="1:7" x14ac:dyDescent="0.15">
      <c r="A35" s="88" t="s">
        <v>12</v>
      </c>
      <c r="C35" s="88">
        <f t="shared" si="1"/>
        <v>25</v>
      </c>
      <c r="D35" s="88" t="s">
        <v>579</v>
      </c>
      <c r="F35" s="88" t="s">
        <v>625</v>
      </c>
      <c r="G35" s="88" t="s">
        <v>605</v>
      </c>
    </row>
    <row r="36" spans="1:7" x14ac:dyDescent="0.15">
      <c r="A36" s="88" t="s">
        <v>12</v>
      </c>
      <c r="C36" s="88">
        <f t="shared" si="1"/>
        <v>26</v>
      </c>
      <c r="D36" s="88" t="s">
        <v>580</v>
      </c>
      <c r="F36" s="88" t="s">
        <v>625</v>
      </c>
      <c r="G36" s="88" t="s">
        <v>606</v>
      </c>
    </row>
    <row r="37" spans="1:7" x14ac:dyDescent="0.15">
      <c r="A37" s="88" t="s">
        <v>12</v>
      </c>
      <c r="C37" s="88">
        <f t="shared" si="1"/>
        <v>27</v>
      </c>
      <c r="D37" s="88" t="s">
        <v>581</v>
      </c>
      <c r="F37" s="88" t="s">
        <v>625</v>
      </c>
      <c r="G37" s="88" t="s">
        <v>607</v>
      </c>
    </row>
    <row r="38" spans="1:7" x14ac:dyDescent="0.15">
      <c r="A38" s="88" t="s">
        <v>12</v>
      </c>
      <c r="C38" s="88">
        <f t="shared" si="1"/>
        <v>28</v>
      </c>
      <c r="D38" s="88" t="s">
        <v>582</v>
      </c>
      <c r="F38" s="88" t="s">
        <v>625</v>
      </c>
      <c r="G38" s="88" t="s">
        <v>608</v>
      </c>
    </row>
    <row r="39" spans="1:7" x14ac:dyDescent="0.15">
      <c r="A39" s="88" t="s">
        <v>12</v>
      </c>
      <c r="C39" s="88">
        <f t="shared" si="1"/>
        <v>29</v>
      </c>
      <c r="D39" s="88" t="s">
        <v>583</v>
      </c>
      <c r="F39" s="88" t="s">
        <v>625</v>
      </c>
      <c r="G39" s="88" t="s">
        <v>609</v>
      </c>
    </row>
    <row r="40" spans="1:7" x14ac:dyDescent="0.15">
      <c r="A40" s="88" t="s">
        <v>12</v>
      </c>
      <c r="C40" s="88">
        <f t="shared" si="1"/>
        <v>30</v>
      </c>
      <c r="D40" s="88" t="s">
        <v>584</v>
      </c>
      <c r="F40" s="88" t="s">
        <v>625</v>
      </c>
      <c r="G40" s="88" t="s">
        <v>610</v>
      </c>
    </row>
    <row r="41" spans="1:7" x14ac:dyDescent="0.15">
      <c r="A41" s="88" t="s">
        <v>12</v>
      </c>
      <c r="C41" s="88">
        <f t="shared" si="1"/>
        <v>31</v>
      </c>
      <c r="D41" s="88" t="s">
        <v>585</v>
      </c>
      <c r="F41" s="88" t="s">
        <v>625</v>
      </c>
      <c r="G41" s="88" t="s">
        <v>611</v>
      </c>
    </row>
    <row r="42" spans="1:7" x14ac:dyDescent="0.15">
      <c r="A42" s="88" t="s">
        <v>12</v>
      </c>
      <c r="C42" s="88">
        <f t="shared" si="1"/>
        <v>32</v>
      </c>
      <c r="D42" s="88" t="s">
        <v>571</v>
      </c>
      <c r="E42" s="88" t="s">
        <v>626</v>
      </c>
      <c r="F42" s="88" t="s">
        <v>625</v>
      </c>
      <c r="G42" s="88" t="s">
        <v>597</v>
      </c>
    </row>
    <row r="43" spans="1:7" x14ac:dyDescent="0.15">
      <c r="A43" s="88" t="s">
        <v>12</v>
      </c>
      <c r="C43" s="88">
        <f t="shared" si="1"/>
        <v>33</v>
      </c>
      <c r="D43" s="88" t="s">
        <v>572</v>
      </c>
      <c r="F43" s="88" t="s">
        <v>625</v>
      </c>
      <c r="G43" s="88" t="s">
        <v>598</v>
      </c>
    </row>
    <row r="44" spans="1:7" x14ac:dyDescent="0.15">
      <c r="A44" s="88" t="s">
        <v>12</v>
      </c>
      <c r="C44" s="88">
        <f t="shared" si="1"/>
        <v>34</v>
      </c>
      <c r="D44" s="88" t="s">
        <v>573</v>
      </c>
      <c r="F44" s="88" t="s">
        <v>625</v>
      </c>
      <c r="G44" s="88" t="s">
        <v>599</v>
      </c>
    </row>
    <row r="45" spans="1:7" x14ac:dyDescent="0.15">
      <c r="A45" s="88" t="s">
        <v>12</v>
      </c>
      <c r="C45" s="88">
        <f t="shared" si="1"/>
        <v>35</v>
      </c>
      <c r="D45" s="88" t="s">
        <v>574</v>
      </c>
      <c r="F45" s="88" t="s">
        <v>625</v>
      </c>
      <c r="G45" s="88" t="s">
        <v>600</v>
      </c>
    </row>
    <row r="46" spans="1:7" x14ac:dyDescent="0.15">
      <c r="A46" s="88" t="s">
        <v>12</v>
      </c>
      <c r="C46" s="88">
        <f t="shared" si="1"/>
        <v>36</v>
      </c>
      <c r="D46" s="88" t="s">
        <v>575</v>
      </c>
      <c r="F46" s="88" t="s">
        <v>625</v>
      </c>
      <c r="G46" s="88" t="s">
        <v>601</v>
      </c>
    </row>
    <row r="47" spans="1:7" x14ac:dyDescent="0.15">
      <c r="A47" s="88" t="s">
        <v>12</v>
      </c>
      <c r="C47" s="88">
        <f t="shared" si="1"/>
        <v>37</v>
      </c>
      <c r="D47" s="88" t="s">
        <v>576</v>
      </c>
      <c r="F47" s="88" t="s">
        <v>625</v>
      </c>
      <c r="G47" s="88" t="s">
        <v>602</v>
      </c>
    </row>
    <row r="48" spans="1:7" x14ac:dyDescent="0.15">
      <c r="A48" s="88" t="s">
        <v>12</v>
      </c>
      <c r="C48" s="88">
        <f t="shared" si="1"/>
        <v>38</v>
      </c>
      <c r="D48" s="88" t="s">
        <v>577</v>
      </c>
      <c r="F48" s="88" t="s">
        <v>625</v>
      </c>
      <c r="G48" s="88" t="s">
        <v>603</v>
      </c>
    </row>
    <row r="49" spans="1:7" x14ac:dyDescent="0.15">
      <c r="A49" s="88" t="s">
        <v>12</v>
      </c>
      <c r="C49" s="88">
        <f t="shared" si="1"/>
        <v>39</v>
      </c>
      <c r="D49" s="88" t="s">
        <v>578</v>
      </c>
      <c r="F49" s="88" t="s">
        <v>625</v>
      </c>
      <c r="G49" s="88" t="s">
        <v>604</v>
      </c>
    </row>
    <row r="50" spans="1:7" x14ac:dyDescent="0.15">
      <c r="A50" s="88" t="s">
        <v>12</v>
      </c>
      <c r="C50" s="88">
        <f t="shared" si="1"/>
        <v>40</v>
      </c>
      <c r="D50" s="88" t="s">
        <v>579</v>
      </c>
      <c r="F50" s="88" t="s">
        <v>625</v>
      </c>
      <c r="G50" s="88" t="s">
        <v>605</v>
      </c>
    </row>
    <row r="51" spans="1:7" x14ac:dyDescent="0.15">
      <c r="A51" s="88" t="s">
        <v>12</v>
      </c>
      <c r="C51" s="88">
        <f t="shared" si="1"/>
        <v>41</v>
      </c>
      <c r="D51" s="88" t="s">
        <v>580</v>
      </c>
      <c r="F51" s="88" t="s">
        <v>625</v>
      </c>
      <c r="G51" s="88" t="s">
        <v>606</v>
      </c>
    </row>
    <row r="52" spans="1:7" x14ac:dyDescent="0.15">
      <c r="A52" s="88" t="s">
        <v>12</v>
      </c>
      <c r="C52" s="88">
        <f t="shared" si="1"/>
        <v>42</v>
      </c>
      <c r="D52" s="88" t="s">
        <v>581</v>
      </c>
      <c r="F52" s="88" t="s">
        <v>625</v>
      </c>
      <c r="G52" s="88" t="s">
        <v>607</v>
      </c>
    </row>
    <row r="53" spans="1:7" x14ac:dyDescent="0.15">
      <c r="A53" s="88" t="s">
        <v>12</v>
      </c>
      <c r="C53" s="88">
        <f t="shared" si="1"/>
        <v>43</v>
      </c>
      <c r="D53" s="88" t="s">
        <v>582</v>
      </c>
      <c r="F53" s="88" t="s">
        <v>625</v>
      </c>
      <c r="G53" s="88" t="s">
        <v>608</v>
      </c>
    </row>
    <row r="54" spans="1:7" x14ac:dyDescent="0.15">
      <c r="A54" s="88" t="s">
        <v>12</v>
      </c>
      <c r="C54" s="88">
        <f t="shared" si="1"/>
        <v>44</v>
      </c>
      <c r="D54" s="88" t="s">
        <v>583</v>
      </c>
      <c r="F54" s="88" t="s">
        <v>625</v>
      </c>
      <c r="G54" s="88" t="s">
        <v>609</v>
      </c>
    </row>
    <row r="55" spans="1:7" x14ac:dyDescent="0.15">
      <c r="A55" s="88" t="s">
        <v>12</v>
      </c>
      <c r="C55" s="88">
        <f t="shared" si="1"/>
        <v>45</v>
      </c>
      <c r="D55" s="88" t="s">
        <v>584</v>
      </c>
      <c r="F55" s="88" t="s">
        <v>625</v>
      </c>
      <c r="G55" s="88" t="s">
        <v>610</v>
      </c>
    </row>
    <row r="56" spans="1:7" x14ac:dyDescent="0.15">
      <c r="A56" s="88" t="s">
        <v>12</v>
      </c>
      <c r="C56" s="88">
        <f t="shared" si="1"/>
        <v>46</v>
      </c>
      <c r="D56" s="88" t="s">
        <v>585</v>
      </c>
      <c r="F56" s="88" t="s">
        <v>625</v>
      </c>
      <c r="G56" s="88" t="s">
        <v>611</v>
      </c>
    </row>
    <row r="57" spans="1:7" x14ac:dyDescent="0.15">
      <c r="A57" s="88" t="s">
        <v>12</v>
      </c>
      <c r="C57" s="88">
        <f t="shared" si="1"/>
        <v>47</v>
      </c>
      <c r="D57" s="88" t="s">
        <v>586</v>
      </c>
      <c r="F57" s="88" t="s">
        <v>625</v>
      </c>
      <c r="G57" s="88" t="s">
        <v>612</v>
      </c>
    </row>
    <row r="58" spans="1:7" x14ac:dyDescent="0.15">
      <c r="A58" s="88" t="s">
        <v>12</v>
      </c>
      <c r="C58" s="88">
        <f t="shared" si="1"/>
        <v>48</v>
      </c>
      <c r="D58" s="88" t="s">
        <v>613</v>
      </c>
      <c r="F58" s="88" t="s">
        <v>625</v>
      </c>
      <c r="G58" s="88" t="s">
        <v>614</v>
      </c>
    </row>
    <row r="59" spans="1:7" x14ac:dyDescent="0.15">
      <c r="A59" s="88" t="s">
        <v>12</v>
      </c>
      <c r="C59" s="88">
        <f t="shared" si="1"/>
        <v>49</v>
      </c>
      <c r="D59" s="88" t="s">
        <v>615</v>
      </c>
      <c r="F59" s="88" t="s">
        <v>625</v>
      </c>
      <c r="G59" s="88" t="s">
        <v>616</v>
      </c>
    </row>
    <row r="60" spans="1:7" x14ac:dyDescent="0.15">
      <c r="A60" s="88" t="s">
        <v>12</v>
      </c>
      <c r="C60" s="88">
        <f t="shared" si="1"/>
        <v>50</v>
      </c>
      <c r="D60" s="88" t="s">
        <v>589</v>
      </c>
      <c r="F60" s="88" t="s">
        <v>625</v>
      </c>
      <c r="G60" s="88" t="s">
        <v>617</v>
      </c>
    </row>
    <row r="61" spans="1:7" x14ac:dyDescent="0.15">
      <c r="A61" s="88" t="s">
        <v>12</v>
      </c>
      <c r="C61" s="88">
        <f t="shared" si="1"/>
        <v>51</v>
      </c>
      <c r="D61" s="88" t="s">
        <v>590</v>
      </c>
      <c r="F61" s="88" t="s">
        <v>625</v>
      </c>
      <c r="G61" s="88" t="s">
        <v>618</v>
      </c>
    </row>
    <row r="62" spans="1:7" x14ac:dyDescent="0.15">
      <c r="A62" s="88" t="s">
        <v>12</v>
      </c>
      <c r="C62" s="88">
        <f t="shared" si="1"/>
        <v>52</v>
      </c>
      <c r="D62" s="88" t="s">
        <v>619</v>
      </c>
      <c r="F62" s="88" t="s">
        <v>625</v>
      </c>
      <c r="G62" s="88" t="s">
        <v>627</v>
      </c>
    </row>
    <row r="63" spans="1:7" x14ac:dyDescent="0.15">
      <c r="A63" s="88" t="s">
        <v>12</v>
      </c>
      <c r="C63" s="88">
        <v>53</v>
      </c>
      <c r="D63" s="88" t="s">
        <v>620</v>
      </c>
      <c r="F63" s="88" t="s">
        <v>625</v>
      </c>
      <c r="G63" s="88" t="s">
        <v>628</v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SUEWS_SiteSelect</vt:lpstr>
      <vt:lpstr>SUEWS_NonVeg</vt:lpstr>
      <vt:lpstr>SUEWS_Veg</vt:lpstr>
      <vt:lpstr>SUEWS_Water</vt:lpstr>
      <vt:lpstr>SUEWS_Snow</vt:lpstr>
      <vt:lpstr>SUEWS_Soil</vt:lpstr>
      <vt:lpstr>SUEWS_Conductance</vt:lpstr>
      <vt:lpstr>SUEWS_AnthropogenicHeat</vt:lpstr>
      <vt:lpstr>SUEWS_Irrigation</vt:lpstr>
      <vt:lpstr>SUEWS_Profiles</vt:lpstr>
      <vt:lpstr>SUEWS_WithinGridWaterDist</vt:lpstr>
      <vt:lpstr>SUEWS_OHMCoefficients</vt:lpstr>
      <vt:lpstr>SUEWS_ESTMCoefficients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Grimmond</dc:creator>
  <cp:lastModifiedBy>Ting Sun</cp:lastModifiedBy>
  <dcterms:created xsi:type="dcterms:W3CDTF">2014-10-10T17:21:16Z</dcterms:created>
  <dcterms:modified xsi:type="dcterms:W3CDTF">2016-06-10T13:58:47Z</dcterms:modified>
</cp:coreProperties>
</file>