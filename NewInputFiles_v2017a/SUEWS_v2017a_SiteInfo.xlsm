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HCW\Projects_04_UoR\SUEWS\Code\Netbeans\Te_Input\"/>
    </mc:Choice>
  </mc:AlternateContent>
  <bookViews>
    <workbookView xWindow="12" yWindow="5057" windowWidth="23939" windowHeight="5046" tabRatio="896" activeTab="1"/>
  </bookViews>
  <sheets>
    <sheet name="SUEWS_SiteSelect" sheetId="10" r:id="rId1"/>
    <sheet name="SUEWS_NonVeg" sheetId="21" r:id="rId2"/>
    <sheet name="SUEWS_Veg" sheetId="4" r:id="rId3"/>
    <sheet name="SUEWS_Water" sheetId="5" r:id="rId4"/>
    <sheet name="SUEWS_Snow" sheetId="7" r:id="rId5"/>
    <sheet name="SUEWS_Soil" sheetId="6" r:id="rId6"/>
    <sheet name="SUEWS_Conductance" sheetId="8" r:id="rId7"/>
    <sheet name="SUEWS_AnthropogenicHeat" sheetId="12" r:id="rId8"/>
    <sheet name="SUEWS_Irrigation" sheetId="13" r:id="rId9"/>
    <sheet name="SUEWS_Profiles" sheetId="1" r:id="rId10"/>
    <sheet name="SUEWS_WithinGridWaterDist" sheetId="18" r:id="rId11"/>
    <sheet name="SUEWS_OHMCoefficients" sheetId="17" r:id="rId12"/>
    <sheet name="SUEWS_ESTMCoefficients" sheetId="20" r:id="rId13"/>
    <sheet name="Sheet1" sheetId="19" r:id="rId14"/>
  </sheets>
  <definedNames>
    <definedName name="_4.10_GIS_input" localSheetId="9">SUEWS_Profiles!$B$26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0" i="10" l="1"/>
  <c r="AG9" i="10"/>
  <c r="AG8" i="10"/>
  <c r="AG3" i="10"/>
  <c r="C26" i="20"/>
  <c r="C27" i="20" s="1"/>
  <c r="C28" i="20" s="1"/>
  <c r="C29" i="20" s="1"/>
  <c r="C30" i="20" s="1"/>
  <c r="C31" i="20" s="1"/>
  <c r="C32" i="20" s="1"/>
  <c r="C33" i="20" s="1"/>
  <c r="C34" i="20" s="1"/>
  <c r="C35" i="20" s="1"/>
  <c r="C36" i="20" s="1"/>
  <c r="C37" i="20" s="1"/>
  <c r="C38" i="20" s="1"/>
  <c r="C39" i="20" s="1"/>
  <c r="C40" i="20" s="1"/>
  <c r="C41" i="20" s="1"/>
  <c r="C42" i="20" s="1"/>
  <c r="C43" i="20" s="1"/>
  <c r="C44" i="20" s="1"/>
  <c r="C45" i="20" s="1"/>
  <c r="C46" i="20" s="1"/>
  <c r="C47" i="20" s="1"/>
  <c r="C48" i="20" s="1"/>
  <c r="C49" i="20" s="1"/>
  <c r="C50" i="20" s="1"/>
  <c r="C51" i="20" s="1"/>
  <c r="C52" i="20" s="1"/>
  <c r="C53" i="20" s="1"/>
  <c r="C54" i="20" s="1"/>
  <c r="C55" i="20" s="1"/>
  <c r="C56" i="20" s="1"/>
  <c r="C57" i="20" s="1"/>
  <c r="C58" i="20" s="1"/>
  <c r="C59" i="20" s="1"/>
  <c r="C60" i="20" s="1"/>
  <c r="C61" i="20" s="1"/>
  <c r="C62" i="20" s="1"/>
  <c r="C63" i="20" s="1"/>
  <c r="C64" i="20" s="1"/>
  <c r="C65" i="20" s="1"/>
  <c r="C66" i="20" s="1"/>
  <c r="C67" i="20" s="1"/>
  <c r="C68" i="20" s="1"/>
  <c r="C69" i="20" s="1"/>
  <c r="C70" i="20" s="1"/>
  <c r="C71" i="20" s="1"/>
  <c r="C72" i="20" s="1"/>
  <c r="C73" i="20" s="1"/>
  <c r="C74" i="20" s="1"/>
  <c r="C75" i="20" s="1"/>
  <c r="C76" i="20" s="1"/>
  <c r="Q1" i="20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AG1" i="20" s="1"/>
  <c r="AH1" i="20" s="1"/>
  <c r="AI1" i="20" s="1"/>
  <c r="AJ1" i="20" s="1"/>
  <c r="AK1" i="20" s="1"/>
  <c r="AL1" i="20" s="1"/>
  <c r="AM1" i="20" s="1"/>
  <c r="AN1" i="20" s="1"/>
  <c r="AO1" i="20" s="1"/>
  <c r="AP1" i="20" s="1"/>
  <c r="AQ1" i="20" s="1"/>
  <c r="AR1" i="20" s="1"/>
  <c r="AS1" i="20" s="1"/>
  <c r="AT1" i="20" s="1"/>
  <c r="AU1" i="20" s="1"/>
  <c r="AV1" i="20" s="1"/>
  <c r="AW1" i="20" s="1"/>
  <c r="AX1" i="20" s="1"/>
  <c r="AY1" i="20" s="1"/>
  <c r="AZ1" i="20" s="1"/>
  <c r="U20" i="1"/>
  <c r="V20" i="1"/>
  <c r="W20" i="1"/>
  <c r="X20" i="1"/>
  <c r="Y20" i="1"/>
  <c r="T20" i="1"/>
  <c r="K20" i="1"/>
  <c r="L20" i="1"/>
  <c r="M20" i="1"/>
  <c r="N20" i="1"/>
  <c r="O20" i="1"/>
  <c r="P20" i="1"/>
  <c r="Q20" i="1"/>
  <c r="R20" i="1"/>
  <c r="S20" i="1"/>
  <c r="J20" i="1"/>
  <c r="H20" i="1"/>
  <c r="I20" i="1"/>
  <c r="C20" i="1"/>
  <c r="D20" i="1"/>
  <c r="E20" i="1"/>
  <c r="F20" i="1"/>
  <c r="G20" i="1"/>
  <c r="B20" i="1"/>
</calcChain>
</file>

<file path=xl/sharedStrings.xml><?xml version="1.0" encoding="utf-8"?>
<sst xmlns="http://schemas.openxmlformats.org/spreadsheetml/2006/main" count="1028" uniqueCount="499">
  <si>
    <t>Anthropogenic Heat Flux Profile values</t>
  </si>
  <si>
    <t>Code</t>
  </si>
  <si>
    <t>BaseTe</t>
  </si>
  <si>
    <t>BLDG</t>
  </si>
  <si>
    <t>ET</t>
  </si>
  <si>
    <t>DT</t>
  </si>
  <si>
    <t>IG</t>
  </si>
  <si>
    <t>UG</t>
  </si>
  <si>
    <t>Snow</t>
  </si>
  <si>
    <t>Emissivity</t>
  </si>
  <si>
    <t>BaseT</t>
  </si>
  <si>
    <t>GDDFull</t>
  </si>
  <si>
    <t>SDDFull</t>
  </si>
  <si>
    <t>S1</t>
  </si>
  <si>
    <t>S2</t>
  </si>
  <si>
    <t>!</t>
  </si>
  <si>
    <t>SoilTypeCode</t>
  </si>
  <si>
    <t>Water Use Profile values</t>
  </si>
  <si>
    <t>Vs 1987</t>
  </si>
  <si>
    <t>Manual  LA</t>
  </si>
  <si>
    <t>Automatic LA</t>
  </si>
  <si>
    <t>AHDIUPRF</t>
  </si>
  <si>
    <t>AHDIUPRF1</t>
  </si>
  <si>
    <t>AHDIUPRF2</t>
  </si>
  <si>
    <t>Helsinki</t>
  </si>
  <si>
    <t>Snow removal</t>
  </si>
  <si>
    <t>SoilDensity</t>
  </si>
  <si>
    <t>PAV</t>
  </si>
  <si>
    <t>G1</t>
  </si>
  <si>
    <t>G2</t>
  </si>
  <si>
    <t>G3</t>
  </si>
  <si>
    <t>G4</t>
  </si>
  <si>
    <t>G5</t>
  </si>
  <si>
    <t>G6</t>
  </si>
  <si>
    <t>Jarvi et al (2014)</t>
  </si>
  <si>
    <t>Grid</t>
  </si>
  <si>
    <t>Water</t>
  </si>
  <si>
    <t>Jarvi et al. (2014)</t>
  </si>
  <si>
    <t>Year</t>
  </si>
  <si>
    <t>Alt</t>
  </si>
  <si>
    <t>BaseTHDD</t>
  </si>
  <si>
    <t>lng</t>
  </si>
  <si>
    <t>FlowChange</t>
  </si>
  <si>
    <t>RunoffToWater</t>
  </si>
  <si>
    <t>SurfaceArea</t>
  </si>
  <si>
    <t>PipeCapacity</t>
  </si>
  <si>
    <t>Ie_start</t>
  </si>
  <si>
    <t>Ie_end</t>
  </si>
  <si>
    <t>InternalWaterUse</t>
  </si>
  <si>
    <t>Faut</t>
  </si>
  <si>
    <t>DayWat(1)</t>
  </si>
  <si>
    <t>DayWat(2)</t>
  </si>
  <si>
    <t>DayWat(3)</t>
  </si>
  <si>
    <t>DayWat(4)</t>
  </si>
  <si>
    <t>DayWat(5)</t>
  </si>
  <si>
    <t>DayWat(6)</t>
  </si>
  <si>
    <t>DayWat(7)</t>
  </si>
  <si>
    <t>DayWatPer(1)</t>
  </si>
  <si>
    <t>DayWatPer(2)</t>
  </si>
  <si>
    <t>DayWatPer(3)</t>
  </si>
  <si>
    <t>DayWatPer(4)</t>
  </si>
  <si>
    <t>DayWatPer(5)</t>
  </si>
  <si>
    <t>DayWatPer(6)</t>
  </si>
  <si>
    <t>DayWatPer(7)</t>
  </si>
  <si>
    <t>imin</t>
  </si>
  <si>
    <t>ih</t>
  </si>
  <si>
    <t>SnowCode</t>
  </si>
  <si>
    <t>a1</t>
  </si>
  <si>
    <t>a2</t>
  </si>
  <si>
    <t>a3</t>
  </si>
  <si>
    <t>Grass</t>
  </si>
  <si>
    <t>summer</t>
  </si>
  <si>
    <t>Asphalt</t>
  </si>
  <si>
    <t>NR</t>
  </si>
  <si>
    <t>Concrete</t>
  </si>
  <si>
    <t>AnthropogenicCode</t>
  </si>
  <si>
    <t>Jarvi et al 2014</t>
  </si>
  <si>
    <t>Järvi et al. (2011) - MD</t>
  </si>
  <si>
    <t>Paved</t>
  </si>
  <si>
    <t>Buildings</t>
  </si>
  <si>
    <t>Decid</t>
  </si>
  <si>
    <t>EveTr</t>
  </si>
  <si>
    <t>DecTr</t>
  </si>
  <si>
    <t>UnmanBare</t>
  </si>
  <si>
    <t>WithinGridGrassCode</t>
  </si>
  <si>
    <t>WithinGridEveTrCode</t>
  </si>
  <si>
    <t>WithinGridDecTrCode</t>
  </si>
  <si>
    <t>WithinGridWaterCode</t>
  </si>
  <si>
    <t>Helsinki (HCW added 0.99 for emissivity)</t>
  </si>
  <si>
    <t>lat</t>
  </si>
  <si>
    <t>StartDLS</t>
  </si>
  <si>
    <t>EndDLS</t>
  </si>
  <si>
    <t>id</t>
  </si>
  <si>
    <t>Bsoil</t>
  </si>
  <si>
    <t>IrrFr_EveTr</t>
  </si>
  <si>
    <t>IrrFr_DecTr</t>
  </si>
  <si>
    <t>IrrFr_Grass</t>
  </si>
  <si>
    <t>Code_Bsoil</t>
  </si>
  <si>
    <t>Code_Grass</t>
  </si>
  <si>
    <t>Code_DecTr</t>
  </si>
  <si>
    <t>Code_EveTr</t>
  </si>
  <si>
    <t>Code_Paved</t>
  </si>
  <si>
    <t>Code_Water</t>
  </si>
  <si>
    <t>StorageMin</t>
  </si>
  <si>
    <t>StorageMax</t>
  </si>
  <si>
    <t>DrainageEq</t>
  </si>
  <si>
    <t>DrainageCoef1</t>
  </si>
  <si>
    <t>DrainageCoef2</t>
  </si>
  <si>
    <t>SoilStoreCap</t>
  </si>
  <si>
    <t>SnowLimPatch</t>
  </si>
  <si>
    <t>LAIMin</t>
  </si>
  <si>
    <t>LAIMax</t>
  </si>
  <si>
    <t>LAIEq</t>
  </si>
  <si>
    <t>LeafGrowthPower1</t>
  </si>
  <si>
    <t>LeafGrowthPower2</t>
  </si>
  <si>
    <t>LeafOffPower1</t>
  </si>
  <si>
    <t>LeafOffPower2</t>
  </si>
  <si>
    <t xml:space="preserve">MaxConductance  </t>
  </si>
  <si>
    <t>RadMeltFactor</t>
  </si>
  <si>
    <t>TempMeltFactor</t>
  </si>
  <si>
    <t>AlbedoMin</t>
  </si>
  <si>
    <t>AlbedoMax</t>
  </si>
  <si>
    <t>PrecipLimAlb</t>
  </si>
  <si>
    <t>SnowDensMin</t>
  </si>
  <si>
    <t>SnowDensMax</t>
  </si>
  <si>
    <t>tau_r</t>
  </si>
  <si>
    <t>tau_f</t>
  </si>
  <si>
    <t>tau_a</t>
  </si>
  <si>
    <t>CRWMin</t>
  </si>
  <si>
    <t>CRWMax</t>
  </si>
  <si>
    <t>LUMPS_DrRate</t>
  </si>
  <si>
    <t>LUMPS_MaxRes</t>
  </si>
  <si>
    <t>LUMPS_Cover</t>
  </si>
  <si>
    <t>NARP_Trans</t>
  </si>
  <si>
    <t>CondCode</t>
  </si>
  <si>
    <t>IrrigationCode</t>
  </si>
  <si>
    <t>PrecipLimSnow</t>
  </si>
  <si>
    <t>OBS_SoilNotRocks</t>
  </si>
  <si>
    <t>OBS_SMDepth</t>
  </si>
  <si>
    <t xml:space="preserve">OBS_SMCap  </t>
  </si>
  <si>
    <t>SnowLimRemove</t>
  </si>
  <si>
    <t>SatHydraulicCond</t>
  </si>
  <si>
    <t>InfiltrationRate</t>
  </si>
  <si>
    <t>TH</t>
  </si>
  <si>
    <t>TL</t>
  </si>
  <si>
    <t>Kmax</t>
  </si>
  <si>
    <t>OHMCode_SummerWet</t>
  </si>
  <si>
    <t>OHMCode_SummerDry</t>
  </si>
  <si>
    <t>OHMCode_WinterWet</t>
  </si>
  <si>
    <t>OHMCode_WinterDry</t>
  </si>
  <si>
    <t>AHMin</t>
  </si>
  <si>
    <t>AHSlope</t>
  </si>
  <si>
    <t>TCritic</t>
  </si>
  <si>
    <t>QF_A_Weekday</t>
  </si>
  <si>
    <t>QF_B_Weekday</t>
  </si>
  <si>
    <t>QF_C_Weekday</t>
  </si>
  <si>
    <t>QF_A_Weekend</t>
  </si>
  <si>
    <t>QF_B_Weekend</t>
  </si>
  <si>
    <t>QF_C_Weekend</t>
  </si>
  <si>
    <t>Ie_a1</t>
  </si>
  <si>
    <t>Ie_a2</t>
  </si>
  <si>
    <t>Ie_a3</t>
  </si>
  <si>
    <t>Ie_m1</t>
  </si>
  <si>
    <t>Ie_m2</t>
  </si>
  <si>
    <t>Ie_m3</t>
  </si>
  <si>
    <t>WithinGridPavedCode</t>
  </si>
  <si>
    <t>WithinGridUnmanBSoilCode</t>
  </si>
  <si>
    <t>ToPaved</t>
  </si>
  <si>
    <t>ToEveTr</t>
  </si>
  <si>
    <t>ToDecTr</t>
  </si>
  <si>
    <t>ToGrass</t>
  </si>
  <si>
    <t>ToBSoil</t>
  </si>
  <si>
    <t>ToWater</t>
  </si>
  <si>
    <t>ToRunoff</t>
  </si>
  <si>
    <t>ToSoilStore</t>
  </si>
  <si>
    <t>zd</t>
  </si>
  <si>
    <t>z0</t>
  </si>
  <si>
    <t>Evergreen</t>
  </si>
  <si>
    <t>[W m-2]</t>
  </si>
  <si>
    <t>Code for storage heat flux estimation using OHM</t>
  </si>
  <si>
    <t>Coefficient for Q* term</t>
  </si>
  <si>
    <t>Coefficient for dQ*/dt term</t>
  </si>
  <si>
    <t>Constant</t>
  </si>
  <si>
    <t>[-]</t>
  </si>
  <si>
    <t xml:space="preserve">! </t>
  </si>
  <si>
    <t>Swindon</t>
  </si>
  <si>
    <t>Ward et al. (2013)</t>
  </si>
  <si>
    <t>Weekday QF</t>
  </si>
  <si>
    <t>Weekend QF</t>
  </si>
  <si>
    <t>(not present)</t>
  </si>
  <si>
    <t>(not used, no irrigation)</t>
  </si>
  <si>
    <t>Surface type</t>
  </si>
  <si>
    <t>Reference</t>
  </si>
  <si>
    <t>Not recommended (NR)</t>
  </si>
  <si>
    <t>Canyon (E-W), Japan</t>
  </si>
  <si>
    <t>Yosheida (1990/91)</t>
  </si>
  <si>
    <t>Canyon, Vancouver</t>
  </si>
  <si>
    <t>Nunez (1974)</t>
  </si>
  <si>
    <t>Canyon (average)</t>
  </si>
  <si>
    <t>Mixed Forest</t>
  </si>
  <si>
    <t>McCaughey (1985)</t>
  </si>
  <si>
    <t>Short grass</t>
  </si>
  <si>
    <t>Doll et al. (1985)</t>
  </si>
  <si>
    <t>Bare soil</t>
  </si>
  <si>
    <t>Novak (1982)</t>
  </si>
  <si>
    <t>Bare soil (wet)</t>
  </si>
  <si>
    <t>Fuchs &amp; Hadas (1972)</t>
  </si>
  <si>
    <t>Bare soil (dry)</t>
  </si>
  <si>
    <t>Asaeda &amp; Ca (1983)</t>
  </si>
  <si>
    <t>Water (shallow - turbid)</t>
  </si>
  <si>
    <t>Souch et al. (1998)</t>
  </si>
  <si>
    <t>Järvi et al. (2014)</t>
  </si>
  <si>
    <t>Roof (tar and gravel, summer)</t>
  </si>
  <si>
    <t>Roof (commerical or industrial, gravel, dry, WS &lt; 1 m/s, Vancouver)</t>
  </si>
  <si>
    <t>Meyn &amp; Oke (2009) Table 4, Pg 750</t>
  </si>
  <si>
    <t>Roof (commerical or industrial, gravel, dry, WS 1-1.4 m/s, Vancouver)</t>
  </si>
  <si>
    <t>Roof (commerical or industrial, gravel, dry, WS 1.5-2 m/s, Vancouver)</t>
  </si>
  <si>
    <t>Roof (commerical or industrial, gravel, wet, WS 0.9-1.9 m/s, Vancouver)</t>
  </si>
  <si>
    <t>Roof (commerical or industrial, bitumen spread over flat industrial membrane, wet &amp; dry, WS 1.1-2 m/s, Vancouver)</t>
  </si>
  <si>
    <t>Roof (residential, asphalt shingle on plywood, dry, WS &lt; 1 m/s, Vancouver)</t>
  </si>
  <si>
    <t>Roof (residential, asphalt shingle on plywood, dry, WS &lt; 1.0-1.4 m/s, Vancouver)</t>
  </si>
  <si>
    <t>Roof (residential, asphalt shingle on plywood, dry, WS &lt; 2 m/s, Vancouver)</t>
  </si>
  <si>
    <t>Roof (STAR, residential, high albedo asphalt shingle, dry, WS 1.0-1.4 m/s)</t>
  </si>
  <si>
    <t>Roof (STAR, Japanese ceramic tile)</t>
  </si>
  <si>
    <t>Roof (STAR, slate tile, dry, WS 1.0-1.4 m/s)</t>
  </si>
  <si>
    <t>Roof (STAR, clay tile, dry, WS 1.0-1.4 m/s)</t>
  </si>
  <si>
    <t>Roof (Uppsala)</t>
  </si>
  <si>
    <t>Taseler (1980)</t>
  </si>
  <si>
    <t>Roof (membrane &amp; concrete)</t>
  </si>
  <si>
    <t xml:space="preserve">Yoshida et al. (1990/91) </t>
  </si>
  <si>
    <t>Original roof average (inlcudes two not recommended - Meyn 2001 and old Meyn 2001 coefficients)</t>
  </si>
  <si>
    <t>Roof (own for SMEAR III, Helsinki)</t>
  </si>
  <si>
    <t xml:space="preserve">Own for Montreal suburban (calculated as a average from shingle types) </t>
  </si>
  <si>
    <t>Own for Montreal urban (calculated as a average from gravel)</t>
  </si>
  <si>
    <t>Asaeda &amp; Ca (1993)</t>
  </si>
  <si>
    <t>Narita et al. (1984)</t>
  </si>
  <si>
    <t xml:space="preserve">Anandakumar (1998) </t>
  </si>
  <si>
    <t>Fr_Paved</t>
  </si>
  <si>
    <t>Fr_EveTr</t>
  </si>
  <si>
    <t>Fr_DecTr</t>
  </si>
  <si>
    <t>Fr_Grass</t>
  </si>
  <si>
    <t>Fr_Bsoil</t>
  </si>
  <si>
    <t>Fr_Water</t>
  </si>
  <si>
    <t>H_EveTr</t>
  </si>
  <si>
    <t>H_DecTr</t>
  </si>
  <si>
    <t>FAI_EveTr</t>
  </si>
  <si>
    <t>FAI_DecTr</t>
  </si>
  <si>
    <t>PopDensDay</t>
  </si>
  <si>
    <t>PopDensNight</t>
  </si>
  <si>
    <t>GridConnection1of8</t>
  </si>
  <si>
    <t>Fraction1of8</t>
  </si>
  <si>
    <t>GridConnection2of8</t>
  </si>
  <si>
    <t>Fraction2of8</t>
  </si>
  <si>
    <t>GridConnection3of8</t>
  </si>
  <si>
    <t>Fraction3of8</t>
  </si>
  <si>
    <t>GridConnection4of8</t>
  </si>
  <si>
    <t>Fraction4of8</t>
  </si>
  <si>
    <t>GridConnection5of8</t>
  </si>
  <si>
    <t>Fraction5of8</t>
  </si>
  <si>
    <t>GridConnection6of8</t>
  </si>
  <si>
    <t>Fraction6of8</t>
  </si>
  <si>
    <t>GridConnection7of8</t>
  </si>
  <si>
    <t>Fraction7of8</t>
  </si>
  <si>
    <t>GridConnection8of8</t>
  </si>
  <si>
    <t>Fraction8of8</t>
  </si>
  <si>
    <t>SnowClearingProfWD</t>
  </si>
  <si>
    <t>SnowClearingProfWE</t>
  </si>
  <si>
    <t>EnergyUseProfWD</t>
  </si>
  <si>
    <t>EnergyUseProfWE</t>
  </si>
  <si>
    <t>WaterUseProfManuWD</t>
  </si>
  <si>
    <t>WaterUseProfManuWE</t>
  </si>
  <si>
    <t>WaterUseProfAutoWD</t>
  </si>
  <si>
    <t>WaterUseProfAutoWE</t>
  </si>
  <si>
    <t>SoilDepth</t>
  </si>
  <si>
    <t>Links to OHM_Code_ columns in SUEWS_NonVeg, SUEWS_Veg, SUEWS_Water, SUEWS_Snow</t>
  </si>
  <si>
    <t>StateLimit</t>
  </si>
  <si>
    <t>BSoil</t>
  </si>
  <si>
    <t>Snow clearing, water use (not used)</t>
  </si>
  <si>
    <t>[h]</t>
  </si>
  <si>
    <t>Fr_Bldgs</t>
  </si>
  <si>
    <t>H_Bldgs</t>
  </si>
  <si>
    <t>FAI_Bldgs</t>
  </si>
  <si>
    <t>Code_Bldgs</t>
  </si>
  <si>
    <t>WithinGridBldgsCode</t>
  </si>
  <si>
    <t>Bldgs</t>
  </si>
  <si>
    <t>ToBldgs</t>
  </si>
  <si>
    <t>London</t>
  </si>
  <si>
    <t>Bsoil (not used)</t>
  </si>
  <si>
    <t>Default</t>
  </si>
  <si>
    <t>(assume no irrigation at the moment)</t>
  </si>
  <si>
    <t>Example</t>
  </si>
  <si>
    <t>Swindon (no water)</t>
  </si>
  <si>
    <t>Vs87</t>
  </si>
  <si>
    <t>Swindon (below Paved)</t>
  </si>
  <si>
    <t>Swindon (below Built)</t>
  </si>
  <si>
    <t>Swindon (below others)</t>
  </si>
  <si>
    <t>WetThreshold</t>
  </si>
  <si>
    <t>(default)</t>
  </si>
  <si>
    <t>Swindon fit</t>
  </si>
  <si>
    <t>Weekday QF scaled for variable pop</t>
  </si>
  <si>
    <t>Vegetation (average). This is the average of Codes 20, 30, 50, 51, 52, 53, 60 (i.e. includes soil and water).</t>
  </si>
  <si>
    <t>NEW Vegetation only (average of codes 20 and 30).</t>
  </si>
  <si>
    <t>Code 201 x Mulitplier for summer</t>
  </si>
  <si>
    <t>Code 201 x Multiplier for winter</t>
  </si>
  <si>
    <t>Bare soil (average). This is the average of Codes 50, 51, 52, 53.</t>
  </si>
  <si>
    <t>Code 55 x Mulitplier for summer</t>
  </si>
  <si>
    <t>Code 55 x Mulitplier for winter</t>
  </si>
  <si>
    <t>Code 60 x Multiplier for summer</t>
  </si>
  <si>
    <t>Code 60 x Multiplier for winter</t>
  </si>
  <si>
    <t>Impervious (average). This is the average of Codes 801, 802, 901, 902, 903, 905, 906.</t>
  </si>
  <si>
    <t>Asphalt - check these values?</t>
  </si>
  <si>
    <t>Asphalt (summer) - check these values?</t>
  </si>
  <si>
    <t>Asphalt (winter) - check these values?</t>
  </si>
  <si>
    <t>Rooftop average (of Taesler, Yap and Yoshida, as in Grimmond et al. 1992)</t>
  </si>
  <si>
    <t>Keogh et al. (2012)</t>
  </si>
  <si>
    <t>Code 798 x Multiplier for summer</t>
  </si>
  <si>
    <t>Code 798 x Multiplier for winter</t>
  </si>
  <si>
    <t>Ward et al. (2015)</t>
  </si>
  <si>
    <t>An99 weighted average (all year) - calculated by HCW</t>
  </si>
  <si>
    <t>An99 Oct-Mar weighted average (winter) -  calculated by HCW</t>
  </si>
  <si>
    <t>An99 Apr-Sep weighted average (summer) - calculated by HCW</t>
  </si>
  <si>
    <t>Impervious (average) excluding all An99 values, i.e. average of Codes 801, 802, 901, 902.</t>
  </si>
  <si>
    <t>Code 851 x Multiplier for summer</t>
  </si>
  <si>
    <t>Code 851 x Multiplier for winter</t>
  </si>
  <si>
    <t>An99 August average - calculated by HCW</t>
  </si>
  <si>
    <t>Mutlipliers for coefficients for summertime (from An99 AMJJAS averages relative to JJA average)</t>
  </si>
  <si>
    <t>Multipliers for coefficients for wintertime (from An99 ONDJFM averages relative to JJA average)</t>
  </si>
  <si>
    <t>Mutlipliers for coefficients for summertime (from An99 AMJJAS averages relative to August average)</t>
  </si>
  <si>
    <t>Multipliers for coefficients for wintertime (from An99 ONDJFM averages relative to August average)</t>
  </si>
  <si>
    <t>An99 JJA average - calculated by HCW</t>
  </si>
  <si>
    <t>NEW Impervious (average). This is the average of Codes 801, 802, 901, 902, 910.</t>
  </si>
  <si>
    <t>Site</t>
  </si>
  <si>
    <t>thick1</t>
  </si>
  <si>
    <t>k1</t>
  </si>
  <si>
    <t>rhoCp1</t>
  </si>
  <si>
    <t>thick2</t>
  </si>
  <si>
    <t>k2</t>
  </si>
  <si>
    <t>rhoCp2</t>
  </si>
  <si>
    <t>thick3</t>
  </si>
  <si>
    <t>k3</t>
  </si>
  <si>
    <t>rhoCp3</t>
  </si>
  <si>
    <t>thick4</t>
  </si>
  <si>
    <t>k4</t>
  </si>
  <si>
    <t>rhoCp4</t>
  </si>
  <si>
    <t>thick5</t>
  </si>
  <si>
    <t>k5</t>
  </si>
  <si>
    <t>rhoCp5</t>
  </si>
  <si>
    <t>nroom</t>
  </si>
  <si>
    <t>CH_iwall</t>
  </si>
  <si>
    <t>CH_iroof</t>
  </si>
  <si>
    <t>CH_ibld</t>
  </si>
  <si>
    <t>fwall</t>
  </si>
  <si>
    <t>!building</t>
  </si>
  <si>
    <t>Łódź</t>
  </si>
  <si>
    <t>Offerle et al. (2005)</t>
  </si>
  <si>
    <t>Barbican, London</t>
  </si>
  <si>
    <t>URBANFLUXES D5.1 report</t>
  </si>
  <si>
    <t>!ground</t>
  </si>
  <si>
    <t>Building</t>
  </si>
  <si>
    <t>Ground</t>
  </si>
  <si>
    <t>for roof</t>
  </si>
  <si>
    <t>Thickness (layer 1)</t>
  </si>
  <si>
    <t>Thermal conductivity ( layer 1)</t>
  </si>
  <si>
    <t>Volumetric heat capacity (layer 1)</t>
  </si>
  <si>
    <t>Thickness (layer 2)</t>
  </si>
  <si>
    <t>Thermal conductivity (layer 2)</t>
  </si>
  <si>
    <t>Volumetric heat capacity (layer 2)</t>
  </si>
  <si>
    <t>Thickness (layer 3)</t>
  </si>
  <si>
    <t>Thermal conductivity (layer 3)</t>
  </si>
  <si>
    <t>Volumetric heat capacity (layer 3)</t>
  </si>
  <si>
    <t>Thickness (layer 4)</t>
  </si>
  <si>
    <t>Thermal conductivity (layer 4)</t>
  </si>
  <si>
    <t>Volumetric heat capacity ( layer 4)</t>
  </si>
  <si>
    <t>Thickness ( layer 5)</t>
  </si>
  <si>
    <t>Thermal conductivity (layer 5)</t>
  </si>
  <si>
    <t>Volumetric heat capacity (layer 5)</t>
  </si>
  <si>
    <t>for external wall</t>
  </si>
  <si>
    <t>Notused</t>
  </si>
  <si>
    <t>for internal elements</t>
  </si>
  <si>
    <t>Number of rooms per floor</t>
  </si>
  <si>
    <t>albIbld</t>
  </si>
  <si>
    <t>albedo of all internal elements</t>
  </si>
  <si>
    <t>emisIbld</t>
  </si>
  <si>
    <t>emissivity of all internal elements</t>
  </si>
  <si>
    <t>bulk transfer coefficient of internal wall</t>
  </si>
  <si>
    <t>bulk transfer coefficient of internal roof</t>
  </si>
  <si>
    <t>bulk transfer coefficient of internal building element</t>
  </si>
  <si>
    <t>Ratio of wall area per unit of plane area</t>
  </si>
  <si>
    <t>Surf_k2</t>
  </si>
  <si>
    <t>Surf_rhoCp2</t>
  </si>
  <si>
    <t>Surf_thick3</t>
  </si>
  <si>
    <t>Surf_k3</t>
  </si>
  <si>
    <t>Surf_rhoCp3</t>
  </si>
  <si>
    <t>Surf_thick4</t>
  </si>
  <si>
    <t>Surf_k4</t>
  </si>
  <si>
    <t>Surf_rhoCp4</t>
  </si>
  <si>
    <t>Surf_thick5</t>
  </si>
  <si>
    <t>Surf_k5</t>
  </si>
  <si>
    <t>Surf_rhoCp5</t>
  </si>
  <si>
    <t>Surf_thick1</t>
  </si>
  <si>
    <t>Surf_k1</t>
  </si>
  <si>
    <t>Surf_rhoCp1</t>
  </si>
  <si>
    <t>Surf_thick2</t>
  </si>
  <si>
    <t>Wall_thick1</t>
  </si>
  <si>
    <t>Wall_k1</t>
  </si>
  <si>
    <t>Wall_rhoCp1</t>
  </si>
  <si>
    <t>Wall_thick2</t>
  </si>
  <si>
    <t>Wall_k2</t>
  </si>
  <si>
    <t>Wall_rhoCp2</t>
  </si>
  <si>
    <t>Wall_thick3</t>
  </si>
  <si>
    <t>Wall_k3</t>
  </si>
  <si>
    <t>Wall_rhoCp3</t>
  </si>
  <si>
    <t>Wall_thick4</t>
  </si>
  <si>
    <t>Wall_k4</t>
  </si>
  <si>
    <t>Wall_rhoCp4</t>
  </si>
  <si>
    <t>Wall_thick5</t>
  </si>
  <si>
    <t>Wall_k5</t>
  </si>
  <si>
    <t>Wall_rhoCp5</t>
  </si>
  <si>
    <t>Internal_thick1</t>
  </si>
  <si>
    <t>Internal_k1</t>
  </si>
  <si>
    <t>Internal_rhoCp1</t>
  </si>
  <si>
    <t>Internal_thick2</t>
  </si>
  <si>
    <t>Internal_k2</t>
  </si>
  <si>
    <t>Internal_rhoCp2</t>
  </si>
  <si>
    <t>Internal_thick3</t>
  </si>
  <si>
    <t>Internal_k3</t>
  </si>
  <si>
    <t>Internal_rhoCp3</t>
  </si>
  <si>
    <t>Internal_thick4</t>
  </si>
  <si>
    <t>Internal_k4</t>
  </si>
  <si>
    <t>Internal_rhoCp4</t>
  </si>
  <si>
    <t>Internal_thick5</t>
  </si>
  <si>
    <t>Internal_k5</t>
  </si>
  <si>
    <t>Internal_rhoCp5</t>
  </si>
  <si>
    <t>Internal_albedo</t>
  </si>
  <si>
    <t>Internal_emissivity</t>
  </si>
  <si>
    <t>Internal_CHwall</t>
  </si>
  <si>
    <t>Internal_CHroof</t>
  </si>
  <si>
    <t>Internal_CHbld</t>
  </si>
  <si>
    <t>Kotthaus and Grimmond (2013, 2014a, 2014b)</t>
  </si>
  <si>
    <t>AnOHM_Cp</t>
  </si>
  <si>
    <t>AnOHM_Kk</t>
  </si>
  <si>
    <t>AnOHM_Ch</t>
  </si>
  <si>
    <t>Fr_ESTMClass_Bldgs2</t>
  </si>
  <si>
    <t>Fr_ESTMClass_Bldgs3</t>
  </si>
  <si>
    <t>Fr_ESTMClass_Bldgs1</t>
  </si>
  <si>
    <t>Fr_ESTMClass_Bldgs4</t>
  </si>
  <si>
    <t>Fr_ESTMClass_Bldgs5</t>
  </si>
  <si>
    <t>Code_ESTMClass_Bldgs1</t>
  </si>
  <si>
    <t>Code_ESTMClass_Bldgs2</t>
  </si>
  <si>
    <t>Code_ESTMClass_Bldgs3</t>
  </si>
  <si>
    <t>Code_ESTMClass_Bldgs4</t>
  </si>
  <si>
    <t>Code_ESTMClass_Bldgs5</t>
  </si>
  <si>
    <t>Fr_ESTMClass_Paved1</t>
  </si>
  <si>
    <t>Fr_ESTMClass_Paved2</t>
  </si>
  <si>
    <t>Fr_ESTMClass_Paved3</t>
  </si>
  <si>
    <t>Code_ESTMClass_Paved1</t>
  </si>
  <si>
    <t>Code_ESTMClass_Paved2</t>
  </si>
  <si>
    <t>Code_ESTMClass_Paved3</t>
  </si>
  <si>
    <t>No irrigation</t>
  </si>
  <si>
    <t>ESTMCode</t>
  </si>
  <si>
    <t>AreaWall</t>
  </si>
  <si>
    <t>!building#1</t>
  </si>
  <si>
    <t>[roof/wall/ibld]</t>
  </si>
  <si>
    <t>Barbican</t>
  </si>
  <si>
    <t>!building#2</t>
  </si>
  <si>
    <t>Lz</t>
  </si>
  <si>
    <t>!building#3</t>
  </si>
  <si>
    <t>Basel</t>
  </si>
  <si>
    <t>!building#4</t>
  </si>
  <si>
    <t>other</t>
  </si>
  <si>
    <t>!building#5</t>
  </si>
  <si>
    <t>!paved#1</t>
  </si>
  <si>
    <t>!paved#2</t>
  </si>
  <si>
    <t>!paved#3</t>
  </si>
  <si>
    <t>!bare</t>
  </si>
  <si>
    <t>soil</t>
  </si>
  <si>
    <t>!evergreen</t>
  </si>
  <si>
    <t>trees</t>
  </si>
  <si>
    <t>and</t>
  </si>
  <si>
    <t>shrubs</t>
  </si>
  <si>
    <t>!deciduous</t>
  </si>
  <si>
    <t>!grass</t>
  </si>
  <si>
    <t>!water</t>
  </si>
  <si>
    <t>gsModel</t>
  </si>
  <si>
    <t>Jarvi et al. (2011) gsModel=1</t>
  </si>
  <si>
    <t>Updated</t>
  </si>
  <si>
    <t>Ward et al. (2016) gsModel=2</t>
  </si>
  <si>
    <t>Timezone</t>
  </si>
  <si>
    <t>TrafficRate</t>
  </si>
  <si>
    <t>BuildEnergyUse</t>
  </si>
  <si>
    <t>ActivityProfWD</t>
  </si>
  <si>
    <t>ActivityProfWE</t>
  </si>
  <si>
    <t>Arbitrary (constant all day)</t>
  </si>
  <si>
    <t>z</t>
  </si>
  <si>
    <t>PorosityMin</t>
  </si>
  <si>
    <t>PorosityMax</t>
  </si>
  <si>
    <t>OHMThresh_SW</t>
  </si>
  <si>
    <t>OHMThresh_WD</t>
  </si>
  <si>
    <t>WaterDepth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</si>
</sst>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000"/>
    <numFmt numFmtId="165" formatCode="0.000"/>
    <numFmt numFmtId="166" formatCode="0.0"/>
  </numFmts>
  <fonts count="18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name val="Times New Roman"/>
      <family val="1"/>
    </font>
    <font>
      <sz val="10"/>
      <name val="OpenSymbol"/>
    </font>
    <font>
      <vertAlign val="superscript"/>
      <sz val="10"/>
      <name val="OpenSymbol"/>
    </font>
    <font>
      <sz val="10"/>
      <color rgb="FF00000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0"/>
      <color theme="1"/>
      <name val="Arial Narrow"/>
      <family val="2"/>
    </font>
    <font>
      <b/>
      <i/>
      <sz val="10"/>
      <color rgb="FF365F91"/>
      <name val="Arial Narrow"/>
      <family val="2"/>
    </font>
    <font>
      <b/>
      <sz val="10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4">
    <xf numFmtId="0" fontId="0" fillId="0" borderId="0" xfId="0"/>
    <xf numFmtId="0" fontId="1" fillId="0" borderId="0" xfId="0" applyFont="1" applyFill="1"/>
    <xf numFmtId="0" fontId="2" fillId="0" borderId="0" xfId="0" applyFont="1"/>
    <xf numFmtId="0" fontId="2" fillId="2" borderId="0" xfId="0" applyFont="1" applyFill="1"/>
    <xf numFmtId="0" fontId="1" fillId="2" borderId="0" xfId="0" applyFont="1" applyFill="1" applyBorder="1"/>
    <xf numFmtId="0" fontId="2" fillId="3" borderId="0" xfId="0" applyFont="1" applyFill="1"/>
    <xf numFmtId="0" fontId="1" fillId="3" borderId="0" xfId="0" applyFont="1" applyFill="1" applyBorder="1"/>
    <xf numFmtId="11" fontId="2" fillId="0" borderId="0" xfId="0" applyNumberFormat="1" applyFont="1"/>
    <xf numFmtId="0" fontId="2" fillId="0" borderId="0" xfId="0" applyFont="1" applyFill="1" applyBorder="1"/>
    <xf numFmtId="0" fontId="1" fillId="0" borderId="0" xfId="0" applyFont="1" applyFill="1" applyBorder="1"/>
    <xf numFmtId="0" fontId="1" fillId="2" borderId="0" xfId="0" applyNumberFormat="1" applyFont="1" applyFill="1" applyBorder="1"/>
    <xf numFmtId="0" fontId="1" fillId="3" borderId="0" xfId="0" applyNumberFormat="1" applyFont="1" applyFill="1" applyBorder="1"/>
    <xf numFmtId="0" fontId="3" fillId="0" borderId="0" xfId="0" applyFont="1" applyFill="1" applyBorder="1"/>
    <xf numFmtId="0" fontId="4" fillId="0" borderId="0" xfId="0" applyFont="1"/>
    <xf numFmtId="0" fontId="1" fillId="0" borderId="0" xfId="0" applyFont="1" applyFill="1" applyAlignment="1">
      <alignment horizontal="left"/>
    </xf>
    <xf numFmtId="0" fontId="2" fillId="0" borderId="0" xfId="0" applyFont="1" applyFill="1"/>
    <xf numFmtId="11" fontId="1" fillId="0" borderId="0" xfId="0" applyNumberFormat="1" applyFont="1" applyFill="1"/>
    <xf numFmtId="0" fontId="1" fillId="2" borderId="0" xfId="0" applyFont="1" applyFill="1"/>
    <xf numFmtId="11" fontId="1" fillId="2" borderId="0" xfId="0" applyNumberFormat="1" applyFont="1" applyFill="1"/>
    <xf numFmtId="0" fontId="1" fillId="3" borderId="0" xfId="0" applyFont="1" applyFill="1"/>
    <xf numFmtId="11" fontId="1" fillId="3" borderId="0" xfId="0" applyNumberFormat="1" applyFont="1" applyFill="1"/>
    <xf numFmtId="0" fontId="5" fillId="0" borderId="0" xfId="0" applyFont="1" applyFill="1" applyAlignment="1">
      <alignment horizontal="left" vertical="center" indent="1"/>
    </xf>
    <xf numFmtId="0" fontId="6" fillId="0" borderId="0" xfId="0" applyFont="1" applyFill="1" applyAlignment="1">
      <alignment horizontal="left" vertical="center" indent="8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 indent="8"/>
    </xf>
    <xf numFmtId="0" fontId="5" fillId="0" borderId="0" xfId="0" applyFont="1" applyFill="1"/>
    <xf numFmtId="0" fontId="2" fillId="0" borderId="0" xfId="0" applyFont="1" applyFill="1" applyBorder="1" applyAlignment="1"/>
    <xf numFmtId="0" fontId="2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2" fillId="2" borderId="0" xfId="0" applyFont="1" applyFill="1" applyBorder="1" applyAlignment="1"/>
    <xf numFmtId="164" fontId="2" fillId="2" borderId="0" xfId="0" applyNumberFormat="1" applyFont="1" applyFill="1" applyBorder="1" applyAlignment="1"/>
    <xf numFmtId="164" fontId="2" fillId="2" borderId="0" xfId="0" applyNumberFormat="1" applyFont="1" applyFill="1" applyBorder="1" applyAlignment="1">
      <alignment vertical="center"/>
    </xf>
    <xf numFmtId="164" fontId="8" fillId="2" borderId="0" xfId="0" applyNumberFormat="1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2" fillId="3" borderId="0" xfId="0" applyFont="1" applyFill="1" applyBorder="1" applyAlignment="1"/>
    <xf numFmtId="164" fontId="2" fillId="3" borderId="0" xfId="0" applyNumberFormat="1" applyFont="1" applyFill="1" applyBorder="1" applyAlignment="1"/>
    <xf numFmtId="164" fontId="2" fillId="3" borderId="0" xfId="0" applyNumberFormat="1" applyFont="1" applyFill="1" applyBorder="1" applyAlignment="1">
      <alignment vertical="center"/>
    </xf>
    <xf numFmtId="164" fontId="8" fillId="3" borderId="0" xfId="0" applyNumberFormat="1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2" fillId="2" borderId="0" xfId="0" applyFont="1" applyFill="1" applyBorder="1"/>
    <xf numFmtId="0" fontId="2" fillId="3" borderId="0" xfId="0" applyFont="1" applyFill="1" applyBorder="1"/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vertical="center" wrapText="1"/>
    </xf>
    <xf numFmtId="0" fontId="2" fillId="2" borderId="0" xfId="0" applyFont="1" applyFill="1" applyBorder="1" applyAlignment="1">
      <alignment vertical="center" wrapText="1"/>
    </xf>
    <xf numFmtId="0" fontId="8" fillId="2" borderId="0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vertical="center" wrapText="1"/>
    </xf>
    <xf numFmtId="0" fontId="8" fillId="3" borderId="0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vertical="center"/>
    </xf>
    <xf numFmtId="0" fontId="15" fillId="0" borderId="0" xfId="0" applyFont="1"/>
    <xf numFmtId="0" fontId="2" fillId="4" borderId="0" xfId="0" applyFont="1" applyFill="1"/>
    <xf numFmtId="165" fontId="2" fillId="0" borderId="0" xfId="0" applyNumberFormat="1" applyFont="1" applyFill="1"/>
    <xf numFmtId="2" fontId="2" fillId="0" borderId="0" xfId="0" applyNumberFormat="1" applyFont="1" applyFill="1"/>
    <xf numFmtId="165" fontId="2" fillId="4" borderId="0" xfId="0" applyNumberFormat="1" applyFont="1" applyFill="1"/>
    <xf numFmtId="2" fontId="2" fillId="4" borderId="0" xfId="0" applyNumberFormat="1" applyFont="1" applyFill="1"/>
    <xf numFmtId="0" fontId="1" fillId="4" borderId="0" xfId="0" applyFont="1" applyFill="1" applyBorder="1"/>
    <xf numFmtId="0" fontId="2" fillId="0" borderId="0" xfId="0" applyFont="1" applyFill="1" applyAlignment="1">
      <alignment horizontal="right"/>
    </xf>
    <xf numFmtId="0" fontId="16" fillId="0" borderId="0" xfId="0" applyFont="1" applyFill="1" applyAlignment="1">
      <alignment horizontal="right"/>
    </xf>
    <xf numFmtId="0" fontId="17" fillId="5" borderId="0" xfId="0" applyFont="1" applyFill="1"/>
    <xf numFmtId="166" fontId="1" fillId="5" borderId="0" xfId="0" applyNumberFormat="1" applyFont="1" applyFill="1"/>
    <xf numFmtId="2" fontId="1" fillId="5" borderId="0" xfId="0" applyNumberFormat="1" applyFont="1" applyFill="1"/>
    <xf numFmtId="0" fontId="1" fillId="5" borderId="0" xfId="0" applyFont="1" applyFill="1"/>
    <xf numFmtId="0" fontId="1" fillId="0" borderId="0" xfId="0" applyFont="1" applyFill="1"/>
    <xf numFmtId="0" fontId="1" fillId="0" borderId="0" xfId="0" applyFont="1" applyFill="1"/>
    <xf numFmtId="0" fontId="1" fillId="0" borderId="0" xfId="0" applyFont="1" applyFill="1"/>
    <xf numFmtId="0" fontId="2" fillId="0" borderId="0" xfId="0" applyFont="1" applyFill="1"/>
    <xf numFmtId="0" fontId="2" fillId="5" borderId="0" xfId="0" applyFont="1" applyFill="1"/>
    <xf numFmtId="11" fontId="0" fillId="0" borderId="0" xfId="0" applyNumberFormat="1"/>
    <xf numFmtId="0" fontId="2" fillId="6" borderId="0" xfId="0" applyFont="1" applyFill="1" applyBorder="1" applyAlignment="1">
      <alignment vertical="center"/>
    </xf>
    <xf numFmtId="0" fontId="2" fillId="6" borderId="0" xfId="0" applyFont="1" applyFill="1" applyBorder="1"/>
    <xf numFmtId="0" fontId="2" fillId="6" borderId="0" xfId="0" applyFont="1" applyFill="1" applyBorder="1" applyAlignment="1">
      <alignment vertical="center" wrapText="1"/>
    </xf>
    <xf numFmtId="0" fontId="8" fillId="6" borderId="0" xfId="0" applyFont="1" applyFill="1" applyBorder="1" applyAlignment="1">
      <alignment horizontal="left" vertical="center"/>
    </xf>
    <xf numFmtId="0" fontId="8" fillId="6" borderId="0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N10"/>
  <sheetViews>
    <sheetView zoomScaleNormal="100" workbookViewId="0">
      <selection activeCell="K1" sqref="K1"/>
    </sheetView>
  </sheetViews>
  <sheetFormatPr defaultColWidth="11.59765625" defaultRowHeight="13.25"/>
  <cols>
    <col min="1" max="6" width="11.59765625" style="1"/>
    <col min="7" max="7" width="11.59765625" style="75"/>
    <col min="8" max="9" width="11.59765625" style="1"/>
    <col min="10" max="10" width="11.59765625" style="75"/>
    <col min="11" max="33" width="11.59765625" style="1"/>
    <col min="34" max="35" width="11.59765625" style="75"/>
    <col min="36" max="53" width="11.59765625" style="1"/>
    <col min="54" max="55" width="11.59765625" style="75"/>
    <col min="56" max="87" width="11.59765625" style="1"/>
    <col min="88" max="88" width="11.59765625" style="73"/>
    <col min="89" max="89" width="11.59765625" style="75"/>
    <col min="90" max="95" width="11.59765625" style="73"/>
    <col min="96" max="100" width="11.59765625" style="74"/>
    <col min="101" max="103" width="11.59765625" style="73"/>
    <col min="104" max="104" width="3.296875" style="1" customWidth="1"/>
    <col min="105" max="16384" width="11.59765625" style="1"/>
  </cols>
  <sheetData>
    <row r="1" spans="1:118">
      <c r="A1" s="1">
        <v>1</v>
      </c>
      <c r="B1" s="1">
        <v>2</v>
      </c>
      <c r="C1" s="75">
        <v>3</v>
      </c>
      <c r="D1" s="75">
        <v>4</v>
      </c>
      <c r="E1" s="75">
        <v>5</v>
      </c>
      <c r="F1" s="75">
        <v>6</v>
      </c>
      <c r="G1" s="75">
        <v>7</v>
      </c>
      <c r="H1" s="75">
        <v>8</v>
      </c>
      <c r="I1" s="75">
        <v>9</v>
      </c>
      <c r="J1" s="75">
        <v>10</v>
      </c>
      <c r="K1" s="75">
        <v>11</v>
      </c>
      <c r="L1" s="75">
        <v>12</v>
      </c>
      <c r="M1" s="75">
        <v>13</v>
      </c>
      <c r="N1" s="75">
        <v>14</v>
      </c>
      <c r="O1" s="75">
        <v>15</v>
      </c>
      <c r="P1" s="75">
        <v>16</v>
      </c>
      <c r="Q1" s="75">
        <v>17</v>
      </c>
      <c r="R1" s="75">
        <v>18</v>
      </c>
      <c r="S1" s="75">
        <v>19</v>
      </c>
      <c r="T1" s="75">
        <v>20</v>
      </c>
      <c r="U1" s="75">
        <v>21</v>
      </c>
      <c r="V1" s="75">
        <v>22</v>
      </c>
      <c r="W1" s="75">
        <v>23</v>
      </c>
      <c r="X1" s="75">
        <v>24</v>
      </c>
      <c r="Y1" s="75">
        <v>25</v>
      </c>
      <c r="Z1" s="75">
        <v>26</v>
      </c>
      <c r="AA1" s="75">
        <v>27</v>
      </c>
      <c r="AB1" s="75">
        <v>28</v>
      </c>
      <c r="AC1" s="75">
        <v>29</v>
      </c>
      <c r="AD1" s="75">
        <v>30</v>
      </c>
      <c r="AE1" s="75">
        <v>31</v>
      </c>
      <c r="AF1" s="75">
        <v>32</v>
      </c>
      <c r="AG1" s="75">
        <v>33</v>
      </c>
      <c r="AH1" s="75">
        <v>34</v>
      </c>
      <c r="AI1" s="75">
        <v>35</v>
      </c>
      <c r="AJ1" s="75">
        <v>36</v>
      </c>
      <c r="AK1" s="75">
        <v>37</v>
      </c>
      <c r="AL1" s="75">
        <v>38</v>
      </c>
      <c r="AM1" s="75">
        <v>39</v>
      </c>
      <c r="AN1" s="75">
        <v>40</v>
      </c>
      <c r="AO1" s="75">
        <v>41</v>
      </c>
      <c r="AP1" s="75">
        <v>42</v>
      </c>
      <c r="AQ1" s="75">
        <v>43</v>
      </c>
      <c r="AR1" s="75">
        <v>44</v>
      </c>
      <c r="AS1" s="75">
        <v>45</v>
      </c>
      <c r="AT1" s="75">
        <v>46</v>
      </c>
      <c r="AU1" s="75">
        <v>47</v>
      </c>
      <c r="AV1" s="75">
        <v>48</v>
      </c>
      <c r="AW1" s="75">
        <v>49</v>
      </c>
      <c r="AX1" s="75">
        <v>50</v>
      </c>
      <c r="AY1" s="75">
        <v>51</v>
      </c>
      <c r="AZ1" s="75">
        <v>52</v>
      </c>
      <c r="BA1" s="75">
        <v>53</v>
      </c>
      <c r="BB1" s="75">
        <v>54</v>
      </c>
      <c r="BC1" s="75">
        <v>55</v>
      </c>
      <c r="BD1" s="75">
        <v>56</v>
      </c>
      <c r="BE1" s="75">
        <v>57</v>
      </c>
      <c r="BF1" s="75">
        <v>58</v>
      </c>
      <c r="BG1" s="75">
        <v>59</v>
      </c>
      <c r="BH1" s="75">
        <v>60</v>
      </c>
      <c r="BI1" s="75">
        <v>61</v>
      </c>
      <c r="BJ1" s="75">
        <v>62</v>
      </c>
      <c r="BK1" s="75">
        <v>63</v>
      </c>
      <c r="BL1" s="75">
        <v>64</v>
      </c>
      <c r="BM1" s="75">
        <v>65</v>
      </c>
      <c r="BN1" s="75">
        <v>66</v>
      </c>
      <c r="BO1" s="75">
        <v>67</v>
      </c>
      <c r="BP1" s="75">
        <v>68</v>
      </c>
      <c r="BQ1" s="75">
        <v>69</v>
      </c>
      <c r="BR1" s="75">
        <v>70</v>
      </c>
      <c r="BS1" s="75">
        <v>71</v>
      </c>
      <c r="BT1" s="75">
        <v>72</v>
      </c>
      <c r="BU1" s="75">
        <v>73</v>
      </c>
      <c r="BV1" s="75">
        <v>74</v>
      </c>
      <c r="BW1" s="75">
        <v>75</v>
      </c>
      <c r="BX1" s="75">
        <v>76</v>
      </c>
      <c r="BY1" s="75">
        <v>77</v>
      </c>
      <c r="BZ1" s="75">
        <v>78</v>
      </c>
      <c r="CA1" s="75">
        <v>79</v>
      </c>
      <c r="CB1" s="75">
        <v>80</v>
      </c>
      <c r="CC1" s="75">
        <v>81</v>
      </c>
      <c r="CD1" s="75">
        <v>82</v>
      </c>
      <c r="CE1" s="75">
        <v>83</v>
      </c>
      <c r="CF1" s="75">
        <v>84</v>
      </c>
      <c r="CG1" s="75">
        <v>85</v>
      </c>
      <c r="CH1" s="75">
        <v>86</v>
      </c>
      <c r="CI1" s="75">
        <v>87</v>
      </c>
      <c r="CJ1" s="75">
        <v>88</v>
      </c>
      <c r="CK1" s="75">
        <v>89</v>
      </c>
      <c r="CL1" s="75">
        <v>90</v>
      </c>
      <c r="CM1" s="75">
        <v>91</v>
      </c>
      <c r="CN1" s="75">
        <v>92</v>
      </c>
      <c r="CO1" s="75">
        <v>93</v>
      </c>
      <c r="CP1" s="75">
        <v>94</v>
      </c>
      <c r="CQ1" s="75">
        <v>95</v>
      </c>
      <c r="CR1" s="75">
        <v>96</v>
      </c>
      <c r="CS1" s="75">
        <v>97</v>
      </c>
      <c r="CT1" s="75">
        <v>98</v>
      </c>
      <c r="CU1" s="75">
        <v>99</v>
      </c>
      <c r="CV1" s="75">
        <v>100</v>
      </c>
      <c r="CW1" s="75">
        <v>101</v>
      </c>
      <c r="CX1" s="75">
        <v>102</v>
      </c>
      <c r="CY1" s="75">
        <v>103</v>
      </c>
    </row>
    <row r="2" spans="1:118">
      <c r="A2" s="1" t="s">
        <v>35</v>
      </c>
      <c r="B2" s="1" t="s">
        <v>38</v>
      </c>
      <c r="C2" s="1" t="s">
        <v>90</v>
      </c>
      <c r="D2" s="1" t="s">
        <v>91</v>
      </c>
      <c r="E2" s="1" t="s">
        <v>89</v>
      </c>
      <c r="F2" s="1" t="s">
        <v>41</v>
      </c>
      <c r="G2" s="75" t="s">
        <v>487</v>
      </c>
      <c r="H2" s="1" t="s">
        <v>44</v>
      </c>
      <c r="I2" s="1" t="s">
        <v>39</v>
      </c>
      <c r="J2" s="75" t="s">
        <v>493</v>
      </c>
      <c r="K2" s="1" t="s">
        <v>92</v>
      </c>
      <c r="L2" s="1" t="s">
        <v>65</v>
      </c>
      <c r="M2" s="1" t="s">
        <v>64</v>
      </c>
      <c r="N2" s="1" t="s">
        <v>237</v>
      </c>
      <c r="O2" s="1" t="s">
        <v>279</v>
      </c>
      <c r="P2" s="1" t="s">
        <v>238</v>
      </c>
      <c r="Q2" s="1" t="s">
        <v>239</v>
      </c>
      <c r="R2" s="1" t="s">
        <v>240</v>
      </c>
      <c r="S2" s="1" t="s">
        <v>241</v>
      </c>
      <c r="T2" s="1" t="s">
        <v>242</v>
      </c>
      <c r="U2" s="1" t="s">
        <v>94</v>
      </c>
      <c r="V2" s="1" t="s">
        <v>95</v>
      </c>
      <c r="W2" s="1" t="s">
        <v>96</v>
      </c>
      <c r="X2" s="1" t="s">
        <v>280</v>
      </c>
      <c r="Y2" s="1" t="s">
        <v>243</v>
      </c>
      <c r="Z2" s="1" t="s">
        <v>244</v>
      </c>
      <c r="AA2" s="1" t="s">
        <v>176</v>
      </c>
      <c r="AB2" s="1" t="s">
        <v>175</v>
      </c>
      <c r="AC2" s="1" t="s">
        <v>281</v>
      </c>
      <c r="AD2" s="1" t="s">
        <v>245</v>
      </c>
      <c r="AE2" s="1" t="s">
        <v>246</v>
      </c>
      <c r="AF2" s="1" t="s">
        <v>247</v>
      </c>
      <c r="AG2" s="1" t="s">
        <v>248</v>
      </c>
      <c r="AH2" s="75" t="s">
        <v>488</v>
      </c>
      <c r="AI2" s="75" t="s">
        <v>489</v>
      </c>
      <c r="AJ2" s="1" t="s">
        <v>101</v>
      </c>
      <c r="AK2" s="1" t="s">
        <v>282</v>
      </c>
      <c r="AL2" s="1" t="s">
        <v>100</v>
      </c>
      <c r="AM2" s="1" t="s">
        <v>99</v>
      </c>
      <c r="AN2" s="1" t="s">
        <v>98</v>
      </c>
      <c r="AO2" s="1" t="s">
        <v>97</v>
      </c>
      <c r="AP2" s="1" t="s">
        <v>102</v>
      </c>
      <c r="AQ2" s="1" t="s">
        <v>130</v>
      </c>
      <c r="AR2" s="1" t="s">
        <v>132</v>
      </c>
      <c r="AS2" s="1" t="s">
        <v>131</v>
      </c>
      <c r="AT2" s="1" t="s">
        <v>133</v>
      </c>
      <c r="AU2" s="1" t="s">
        <v>134</v>
      </c>
      <c r="AV2" s="1" t="s">
        <v>66</v>
      </c>
      <c r="AW2" s="1" t="s">
        <v>265</v>
      </c>
      <c r="AX2" s="1" t="s">
        <v>266</v>
      </c>
      <c r="AY2" s="1" t="s">
        <v>75</v>
      </c>
      <c r="AZ2" s="1" t="s">
        <v>267</v>
      </c>
      <c r="BA2" s="1" t="s">
        <v>268</v>
      </c>
      <c r="BB2" s="75" t="s">
        <v>490</v>
      </c>
      <c r="BC2" s="75" t="s">
        <v>491</v>
      </c>
      <c r="BD2" s="1" t="s">
        <v>135</v>
      </c>
      <c r="BE2" s="1" t="s">
        <v>269</v>
      </c>
      <c r="BF2" s="1" t="s">
        <v>270</v>
      </c>
      <c r="BG2" s="1" t="s">
        <v>271</v>
      </c>
      <c r="BH2" s="1" t="s">
        <v>272</v>
      </c>
      <c r="BI2" s="1" t="s">
        <v>42</v>
      </c>
      <c r="BJ2" s="1" t="s">
        <v>43</v>
      </c>
      <c r="BK2" s="1" t="s">
        <v>45</v>
      </c>
      <c r="BL2" s="1" t="s">
        <v>249</v>
      </c>
      <c r="BM2" s="1" t="s">
        <v>250</v>
      </c>
      <c r="BN2" s="1" t="s">
        <v>251</v>
      </c>
      <c r="BO2" s="1" t="s">
        <v>252</v>
      </c>
      <c r="BP2" s="1" t="s">
        <v>253</v>
      </c>
      <c r="BQ2" s="1" t="s">
        <v>254</v>
      </c>
      <c r="BR2" s="1" t="s">
        <v>255</v>
      </c>
      <c r="BS2" s="1" t="s">
        <v>256</v>
      </c>
      <c r="BT2" s="1" t="s">
        <v>257</v>
      </c>
      <c r="BU2" s="1" t="s">
        <v>258</v>
      </c>
      <c r="BV2" s="1" t="s">
        <v>259</v>
      </c>
      <c r="BW2" s="1" t="s">
        <v>260</v>
      </c>
      <c r="BX2" s="1" t="s">
        <v>261</v>
      </c>
      <c r="BY2" s="1" t="s">
        <v>262</v>
      </c>
      <c r="BZ2" s="1" t="s">
        <v>263</v>
      </c>
      <c r="CA2" s="1" t="s">
        <v>264</v>
      </c>
      <c r="CB2" s="1" t="s">
        <v>165</v>
      </c>
      <c r="CC2" s="1" t="s">
        <v>283</v>
      </c>
      <c r="CD2" s="1" t="s">
        <v>85</v>
      </c>
      <c r="CE2" s="1" t="s">
        <v>86</v>
      </c>
      <c r="CF2" s="1" t="s">
        <v>84</v>
      </c>
      <c r="CG2" s="1" t="s">
        <v>166</v>
      </c>
      <c r="CH2" s="1" t="s">
        <v>87</v>
      </c>
      <c r="CI2" s="1" t="s">
        <v>460</v>
      </c>
      <c r="CJ2" s="75" t="s">
        <v>452</v>
      </c>
      <c r="CK2" s="75" t="s">
        <v>453</v>
      </c>
      <c r="CL2" s="75" t="s">
        <v>454</v>
      </c>
      <c r="CM2" s="75" t="s">
        <v>455</v>
      </c>
      <c r="CN2" s="75" t="s">
        <v>456</v>
      </c>
      <c r="CO2" s="75" t="s">
        <v>457</v>
      </c>
      <c r="CP2" s="75" t="s">
        <v>444</v>
      </c>
      <c r="CQ2" s="75" t="s">
        <v>442</v>
      </c>
      <c r="CR2" s="75" t="s">
        <v>443</v>
      </c>
      <c r="CS2" s="75" t="s">
        <v>445</v>
      </c>
      <c r="CT2" s="75" t="s">
        <v>446</v>
      </c>
      <c r="CU2" s="75" t="s">
        <v>447</v>
      </c>
      <c r="CV2" s="75" t="s">
        <v>448</v>
      </c>
      <c r="CW2" s="75" t="s">
        <v>449</v>
      </c>
      <c r="CX2" s="75" t="s">
        <v>450</v>
      </c>
      <c r="CY2" s="75" t="s">
        <v>451</v>
      </c>
      <c r="CZ2" s="1" t="s">
        <v>15</v>
      </c>
      <c r="DA2" s="1" t="s">
        <v>331</v>
      </c>
      <c r="DB2" s="1" t="s">
        <v>192</v>
      </c>
      <c r="DE2" s="75"/>
      <c r="DF2" s="75"/>
      <c r="DG2" s="75"/>
      <c r="DH2" s="75"/>
      <c r="DI2" s="75"/>
      <c r="DJ2" s="75"/>
      <c r="DK2" s="75"/>
      <c r="DL2" s="75"/>
      <c r="DM2" s="75"/>
      <c r="DN2" s="75"/>
    </row>
    <row r="3" spans="1:118" s="72" customFormat="1" ht="14.4">
      <c r="A3" s="72">
        <v>0</v>
      </c>
      <c r="B3" s="72">
        <v>2012</v>
      </c>
      <c r="C3" s="72">
        <v>85</v>
      </c>
      <c r="D3" s="72">
        <v>302</v>
      </c>
      <c r="E3" s="72">
        <v>51.51</v>
      </c>
      <c r="F3" s="72">
        <v>0.12</v>
      </c>
      <c r="G3" s="72">
        <v>0</v>
      </c>
      <c r="H3" s="72">
        <v>2221.56</v>
      </c>
      <c r="I3" s="72">
        <v>10.7</v>
      </c>
      <c r="J3" s="72">
        <v>49.6</v>
      </c>
      <c r="K3" s="72">
        <v>1</v>
      </c>
      <c r="L3" s="72">
        <v>0</v>
      </c>
      <c r="M3" s="72">
        <v>0</v>
      </c>
      <c r="N3" s="71">
        <v>0.43</v>
      </c>
      <c r="O3" s="71">
        <v>0.38</v>
      </c>
      <c r="P3" s="71">
        <v>0</v>
      </c>
      <c r="Q3" s="71">
        <v>0.02</v>
      </c>
      <c r="R3" s="71">
        <v>0.03</v>
      </c>
      <c r="S3" s="71">
        <v>0</v>
      </c>
      <c r="T3" s="71">
        <v>0.14000000000000001</v>
      </c>
      <c r="U3" s="72">
        <v>0</v>
      </c>
      <c r="V3" s="72">
        <v>0</v>
      </c>
      <c r="W3" s="72">
        <v>0</v>
      </c>
      <c r="X3" s="70">
        <v>22</v>
      </c>
      <c r="Y3" s="70">
        <v>13.1</v>
      </c>
      <c r="Z3" s="70">
        <v>13.1</v>
      </c>
      <c r="AA3" s="70">
        <v>1.9</v>
      </c>
      <c r="AB3" s="70">
        <v>14.2</v>
      </c>
      <c r="AC3" s="72">
        <v>-999</v>
      </c>
      <c r="AD3" s="72">
        <v>-999</v>
      </c>
      <c r="AE3" s="72">
        <v>-999</v>
      </c>
      <c r="AF3" s="69">
        <v>-999</v>
      </c>
      <c r="AG3" s="69">
        <f t="shared" ref="AG3" si="0">(310.4+98.76)/2</f>
        <v>204.57999999999998</v>
      </c>
      <c r="AH3" s="69">
        <v>-999</v>
      </c>
      <c r="AI3" s="69">
        <v>-999</v>
      </c>
      <c r="AJ3" s="72">
        <v>661</v>
      </c>
      <c r="AK3" s="72">
        <v>662</v>
      </c>
      <c r="AL3" s="72">
        <v>661</v>
      </c>
      <c r="AM3" s="72">
        <v>662</v>
      </c>
      <c r="AN3" s="72">
        <v>663</v>
      </c>
      <c r="AO3" s="72">
        <v>663</v>
      </c>
      <c r="AP3" s="72">
        <v>661</v>
      </c>
      <c r="AQ3" s="72">
        <v>0.25</v>
      </c>
      <c r="AR3" s="72">
        <v>1</v>
      </c>
      <c r="AS3" s="72">
        <v>10</v>
      </c>
      <c r="AT3" s="72">
        <v>1</v>
      </c>
      <c r="AU3" s="72">
        <v>200</v>
      </c>
      <c r="AV3" s="72">
        <v>99999</v>
      </c>
      <c r="AW3" s="72">
        <v>99999</v>
      </c>
      <c r="AX3" s="72">
        <v>99999</v>
      </c>
      <c r="AY3" s="72">
        <v>661</v>
      </c>
      <c r="AZ3" s="72">
        <v>661</v>
      </c>
      <c r="BA3" s="72">
        <v>662</v>
      </c>
      <c r="BB3" s="72">
        <v>90000</v>
      </c>
      <c r="BC3" s="72">
        <v>90000</v>
      </c>
      <c r="BD3" s="72">
        <v>99999</v>
      </c>
      <c r="BE3" s="72">
        <v>99999</v>
      </c>
      <c r="BF3" s="72">
        <v>99999</v>
      </c>
      <c r="BG3" s="72">
        <v>99999</v>
      </c>
      <c r="BH3" s="72">
        <v>99999</v>
      </c>
      <c r="BI3" s="72">
        <v>0</v>
      </c>
      <c r="BJ3" s="72">
        <v>0</v>
      </c>
      <c r="BK3" s="72">
        <v>100</v>
      </c>
      <c r="BL3" s="72">
        <v>0</v>
      </c>
      <c r="BM3" s="72">
        <v>0</v>
      </c>
      <c r="BN3" s="72">
        <v>0</v>
      </c>
      <c r="BO3" s="72">
        <v>0</v>
      </c>
      <c r="BP3" s="72">
        <v>0</v>
      </c>
      <c r="BQ3" s="72">
        <v>0</v>
      </c>
      <c r="BR3" s="72">
        <v>0</v>
      </c>
      <c r="BS3" s="72">
        <v>0</v>
      </c>
      <c r="BT3" s="72">
        <v>0</v>
      </c>
      <c r="BU3" s="72">
        <v>0</v>
      </c>
      <c r="BV3" s="72">
        <v>0</v>
      </c>
      <c r="BW3" s="72">
        <v>0</v>
      </c>
      <c r="BX3" s="72">
        <v>0</v>
      </c>
      <c r="BY3" s="72">
        <v>0</v>
      </c>
      <c r="BZ3" s="72">
        <v>0</v>
      </c>
      <c r="CA3" s="72">
        <v>0</v>
      </c>
      <c r="CB3" s="72">
        <v>661</v>
      </c>
      <c r="CC3" s="72">
        <v>662</v>
      </c>
      <c r="CD3" s="72">
        <v>663</v>
      </c>
      <c r="CE3" s="72">
        <v>664</v>
      </c>
      <c r="CF3" s="72">
        <v>665</v>
      </c>
      <c r="CG3" s="72">
        <v>666</v>
      </c>
      <c r="CH3" s="72">
        <v>667</v>
      </c>
      <c r="CI3" s="1">
        <v>1.08</v>
      </c>
      <c r="CJ3" s="75">
        <v>0.15</v>
      </c>
      <c r="CK3" s="75">
        <v>0.05</v>
      </c>
      <c r="CL3" s="75">
        <v>0.8</v>
      </c>
      <c r="CM3" s="75">
        <v>806</v>
      </c>
      <c r="CN3" s="75">
        <v>807</v>
      </c>
      <c r="CO3" s="75">
        <v>808</v>
      </c>
      <c r="CP3" s="76">
        <v>0.15</v>
      </c>
      <c r="CQ3" s="75">
        <v>0.45</v>
      </c>
      <c r="CR3" s="75">
        <v>0.05</v>
      </c>
      <c r="CS3" s="75">
        <v>0.1</v>
      </c>
      <c r="CT3" s="75">
        <v>0.25</v>
      </c>
      <c r="CU3" s="75">
        <v>801</v>
      </c>
      <c r="CV3" s="75">
        <v>802</v>
      </c>
      <c r="CW3" s="75">
        <v>803</v>
      </c>
      <c r="CX3" s="75">
        <v>804</v>
      </c>
      <c r="CY3" s="75">
        <v>805</v>
      </c>
      <c r="CZ3" s="72" t="s">
        <v>15</v>
      </c>
      <c r="DA3" s="72" t="s">
        <v>286</v>
      </c>
      <c r="DB3" s="72" t="s">
        <v>438</v>
      </c>
      <c r="DE3" s="77"/>
    </row>
    <row r="4" spans="1:118">
      <c r="A4" s="1">
        <v>-9</v>
      </c>
    </row>
    <row r="5" spans="1:118">
      <c r="A5" s="1">
        <v>-9</v>
      </c>
    </row>
    <row r="8" spans="1:118" s="72" customFormat="1" ht="14.4">
      <c r="A8" s="72">
        <v>1</v>
      </c>
      <c r="B8" s="72">
        <v>2011</v>
      </c>
      <c r="C8" s="72">
        <v>86</v>
      </c>
      <c r="D8" s="72">
        <v>303</v>
      </c>
      <c r="E8" s="72">
        <v>51.51</v>
      </c>
      <c r="F8" s="72">
        <v>0.12</v>
      </c>
      <c r="H8" s="72">
        <v>2221.56</v>
      </c>
      <c r="I8" s="72">
        <v>10.7</v>
      </c>
      <c r="K8" s="72">
        <v>1</v>
      </c>
      <c r="L8" s="72">
        <v>0</v>
      </c>
      <c r="M8" s="72">
        <v>0</v>
      </c>
      <c r="N8" s="71">
        <v>0.43</v>
      </c>
      <c r="O8" s="71">
        <v>0.38</v>
      </c>
      <c r="P8" s="71">
        <v>0</v>
      </c>
      <c r="Q8" s="71">
        <v>0.02</v>
      </c>
      <c r="R8" s="71">
        <v>0.03</v>
      </c>
      <c r="S8" s="71">
        <v>0</v>
      </c>
      <c r="T8" s="71">
        <v>0.14000000000000001</v>
      </c>
      <c r="U8" s="72">
        <v>0</v>
      </c>
      <c r="V8" s="72">
        <v>0</v>
      </c>
      <c r="W8" s="72">
        <v>0</v>
      </c>
      <c r="X8" s="70">
        <v>22</v>
      </c>
      <c r="Y8" s="70">
        <v>13.1</v>
      </c>
      <c r="Z8" s="70">
        <v>13.1</v>
      </c>
      <c r="AA8" s="70">
        <v>1.9</v>
      </c>
      <c r="AB8" s="70">
        <v>14.2</v>
      </c>
      <c r="AC8" s="72">
        <v>-999</v>
      </c>
      <c r="AD8" s="72">
        <v>-999</v>
      </c>
      <c r="AE8" s="72">
        <v>-999</v>
      </c>
      <c r="AF8" s="69">
        <v>-999</v>
      </c>
      <c r="AG8" s="69">
        <f>(310.4+98.76)/2</f>
        <v>204.57999999999998</v>
      </c>
      <c r="AH8" s="69"/>
      <c r="AI8" s="69"/>
      <c r="AJ8" s="72">
        <v>661</v>
      </c>
      <c r="AK8" s="72">
        <v>662</v>
      </c>
      <c r="AL8" s="72">
        <v>661</v>
      </c>
      <c r="AM8" s="72">
        <v>662</v>
      </c>
      <c r="AN8" s="72">
        <v>663</v>
      </c>
      <c r="AO8" s="72">
        <v>663</v>
      </c>
      <c r="AP8" s="72">
        <v>661</v>
      </c>
      <c r="AQ8" s="72">
        <v>0.25</v>
      </c>
      <c r="AR8" s="72">
        <v>1</v>
      </c>
      <c r="AS8" s="72">
        <v>10</v>
      </c>
      <c r="AT8" s="72">
        <v>1</v>
      </c>
      <c r="AU8" s="72">
        <v>200</v>
      </c>
      <c r="AV8" s="72">
        <v>999</v>
      </c>
      <c r="AW8" s="72">
        <v>999</v>
      </c>
      <c r="AX8" s="72">
        <v>999</v>
      </c>
      <c r="AY8" s="72">
        <v>661</v>
      </c>
      <c r="AZ8" s="72">
        <v>661</v>
      </c>
      <c r="BA8" s="72">
        <v>662</v>
      </c>
      <c r="BD8" s="72">
        <v>999</v>
      </c>
      <c r="BE8" s="72">
        <v>999</v>
      </c>
      <c r="BF8" s="72">
        <v>999</v>
      </c>
      <c r="BG8" s="72">
        <v>999</v>
      </c>
      <c r="BH8" s="72">
        <v>999</v>
      </c>
      <c r="BI8" s="72">
        <v>0</v>
      </c>
      <c r="BJ8" s="72">
        <v>0</v>
      </c>
      <c r="BK8" s="72">
        <v>100</v>
      </c>
      <c r="BL8" s="72">
        <v>0</v>
      </c>
      <c r="BM8" s="72">
        <v>0</v>
      </c>
      <c r="BN8" s="72">
        <v>0</v>
      </c>
      <c r="BO8" s="72">
        <v>0</v>
      </c>
      <c r="BP8" s="72">
        <v>0</v>
      </c>
      <c r="BQ8" s="72">
        <v>0</v>
      </c>
      <c r="BR8" s="72">
        <v>0</v>
      </c>
      <c r="BS8" s="72">
        <v>0</v>
      </c>
      <c r="BT8" s="72">
        <v>0</v>
      </c>
      <c r="BU8" s="72">
        <v>0</v>
      </c>
      <c r="BV8" s="72">
        <v>0</v>
      </c>
      <c r="BW8" s="72">
        <v>0</v>
      </c>
      <c r="BX8" s="72">
        <v>0</v>
      </c>
      <c r="BY8" s="72">
        <v>0</v>
      </c>
      <c r="BZ8" s="72">
        <v>0</v>
      </c>
      <c r="CA8" s="72">
        <v>0</v>
      </c>
      <c r="CB8" s="72">
        <v>661</v>
      </c>
      <c r="CC8" s="72">
        <v>662</v>
      </c>
      <c r="CD8" s="72">
        <v>663</v>
      </c>
      <c r="CE8" s="72">
        <v>664</v>
      </c>
      <c r="CF8" s="72">
        <v>665</v>
      </c>
      <c r="CG8" s="72">
        <v>666</v>
      </c>
      <c r="CH8" s="72">
        <v>667</v>
      </c>
      <c r="CI8" s="75">
        <v>1.08</v>
      </c>
      <c r="CJ8" s="76">
        <v>0.15</v>
      </c>
      <c r="CK8" s="75">
        <v>0.45</v>
      </c>
      <c r="CL8" s="75">
        <v>0.05</v>
      </c>
      <c r="CM8" s="75">
        <v>0.1</v>
      </c>
      <c r="CN8" s="75">
        <v>0.25</v>
      </c>
      <c r="CO8" s="75">
        <v>801</v>
      </c>
      <c r="CP8" s="75">
        <v>802</v>
      </c>
      <c r="CQ8" s="75">
        <v>803</v>
      </c>
      <c r="CR8" s="75">
        <v>804</v>
      </c>
      <c r="CS8" s="75">
        <v>805</v>
      </c>
      <c r="CT8" s="75">
        <v>0.15</v>
      </c>
      <c r="CU8" s="75">
        <v>0.05</v>
      </c>
      <c r="CV8" s="75">
        <v>0.8</v>
      </c>
      <c r="CW8" s="75">
        <v>806</v>
      </c>
      <c r="CX8" s="75">
        <v>807</v>
      </c>
      <c r="CY8" s="75">
        <v>808</v>
      </c>
      <c r="CZ8" s="72" t="s">
        <v>15</v>
      </c>
      <c r="DA8" s="72" t="s">
        <v>286</v>
      </c>
      <c r="DB8" s="72" t="s">
        <v>438</v>
      </c>
    </row>
    <row r="9" spans="1:118" s="72" customFormat="1" ht="14.4">
      <c r="A9" s="72">
        <v>1</v>
      </c>
      <c r="B9" s="72">
        <v>2012</v>
      </c>
      <c r="C9" s="72">
        <v>85</v>
      </c>
      <c r="D9" s="72">
        <v>302</v>
      </c>
      <c r="E9" s="72">
        <v>51.51</v>
      </c>
      <c r="F9" s="72">
        <v>0.12</v>
      </c>
      <c r="H9" s="72">
        <v>2221.56</v>
      </c>
      <c r="I9" s="72">
        <v>10.7</v>
      </c>
      <c r="K9" s="72">
        <v>1</v>
      </c>
      <c r="L9" s="72">
        <v>0</v>
      </c>
      <c r="M9" s="72">
        <v>0</v>
      </c>
      <c r="N9" s="71">
        <v>0.43</v>
      </c>
      <c r="O9" s="71">
        <v>0.38</v>
      </c>
      <c r="P9" s="71">
        <v>0</v>
      </c>
      <c r="Q9" s="71">
        <v>0.02</v>
      </c>
      <c r="R9" s="71">
        <v>0.03</v>
      </c>
      <c r="S9" s="71">
        <v>0</v>
      </c>
      <c r="T9" s="71">
        <v>0.14000000000000001</v>
      </c>
      <c r="U9" s="72">
        <v>0</v>
      </c>
      <c r="V9" s="72">
        <v>0</v>
      </c>
      <c r="W9" s="72">
        <v>0</v>
      </c>
      <c r="X9" s="70">
        <v>22</v>
      </c>
      <c r="Y9" s="70">
        <v>13.1</v>
      </c>
      <c r="Z9" s="70">
        <v>13.1</v>
      </c>
      <c r="AA9" s="70">
        <v>1.9</v>
      </c>
      <c r="AB9" s="70">
        <v>14.2</v>
      </c>
      <c r="AC9" s="72">
        <v>-999</v>
      </c>
      <c r="AD9" s="72">
        <v>-999</v>
      </c>
      <c r="AE9" s="72">
        <v>-999</v>
      </c>
      <c r="AF9" s="69">
        <v>-999</v>
      </c>
      <c r="AG9" s="69">
        <f t="shared" ref="AG9:AG10" si="1">(310.4+98.76)/2</f>
        <v>204.57999999999998</v>
      </c>
      <c r="AH9" s="69"/>
      <c r="AI9" s="69"/>
      <c r="AJ9" s="72">
        <v>661</v>
      </c>
      <c r="AK9" s="72">
        <v>662</v>
      </c>
      <c r="AL9" s="72">
        <v>661</v>
      </c>
      <c r="AM9" s="72">
        <v>662</v>
      </c>
      <c r="AN9" s="72">
        <v>663</v>
      </c>
      <c r="AO9" s="72">
        <v>663</v>
      </c>
      <c r="AP9" s="72">
        <v>661</v>
      </c>
      <c r="AQ9" s="72">
        <v>0.25</v>
      </c>
      <c r="AR9" s="72">
        <v>1</v>
      </c>
      <c r="AS9" s="72">
        <v>10</v>
      </c>
      <c r="AT9" s="72">
        <v>1</v>
      </c>
      <c r="AU9" s="72">
        <v>200</v>
      </c>
      <c r="AV9" s="72">
        <v>999</v>
      </c>
      <c r="AW9" s="72">
        <v>999</v>
      </c>
      <c r="AX9" s="72">
        <v>999</v>
      </c>
      <c r="AY9" s="72">
        <v>661</v>
      </c>
      <c r="AZ9" s="72">
        <v>661</v>
      </c>
      <c r="BA9" s="72">
        <v>662</v>
      </c>
      <c r="BD9" s="72">
        <v>999</v>
      </c>
      <c r="BE9" s="72">
        <v>999</v>
      </c>
      <c r="BF9" s="72">
        <v>999</v>
      </c>
      <c r="BG9" s="72">
        <v>999</v>
      </c>
      <c r="BH9" s="72">
        <v>999</v>
      </c>
      <c r="BI9" s="72">
        <v>0</v>
      </c>
      <c r="BJ9" s="72">
        <v>0</v>
      </c>
      <c r="BK9" s="72">
        <v>100</v>
      </c>
      <c r="BL9" s="72">
        <v>0</v>
      </c>
      <c r="BM9" s="72">
        <v>0</v>
      </c>
      <c r="BN9" s="72">
        <v>0</v>
      </c>
      <c r="BO9" s="72">
        <v>0</v>
      </c>
      <c r="BP9" s="72">
        <v>0</v>
      </c>
      <c r="BQ9" s="72">
        <v>0</v>
      </c>
      <c r="BR9" s="72">
        <v>0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661</v>
      </c>
      <c r="CC9" s="72">
        <v>662</v>
      </c>
      <c r="CD9" s="72">
        <v>663</v>
      </c>
      <c r="CE9" s="72">
        <v>664</v>
      </c>
      <c r="CF9" s="72">
        <v>665</v>
      </c>
      <c r="CG9" s="72">
        <v>666</v>
      </c>
      <c r="CH9" s="72">
        <v>667</v>
      </c>
      <c r="CI9" s="75">
        <v>1.08</v>
      </c>
      <c r="CJ9" s="76">
        <v>0.15</v>
      </c>
      <c r="CK9" s="75">
        <v>0.45</v>
      </c>
      <c r="CL9" s="75">
        <v>0.05</v>
      </c>
      <c r="CM9" s="75">
        <v>0.1</v>
      </c>
      <c r="CN9" s="75">
        <v>0.25</v>
      </c>
      <c r="CO9" s="75">
        <v>801</v>
      </c>
      <c r="CP9" s="75">
        <v>802</v>
      </c>
      <c r="CQ9" s="75">
        <v>803</v>
      </c>
      <c r="CR9" s="75">
        <v>804</v>
      </c>
      <c r="CS9" s="75">
        <v>805</v>
      </c>
      <c r="CT9" s="75">
        <v>0.15</v>
      </c>
      <c r="CU9" s="75">
        <v>0.05</v>
      </c>
      <c r="CV9" s="75">
        <v>0.8</v>
      </c>
      <c r="CW9" s="75">
        <v>806</v>
      </c>
      <c r="CX9" s="75">
        <v>807</v>
      </c>
      <c r="CY9" s="75">
        <v>808</v>
      </c>
      <c r="CZ9" s="72" t="s">
        <v>15</v>
      </c>
      <c r="DA9" s="72" t="s">
        <v>286</v>
      </c>
      <c r="DB9" s="72" t="s">
        <v>438</v>
      </c>
    </row>
    <row r="10" spans="1:118" s="72" customFormat="1" ht="14.4">
      <c r="A10" s="72">
        <v>1</v>
      </c>
      <c r="B10" s="72">
        <v>2013</v>
      </c>
      <c r="C10" s="72">
        <v>90</v>
      </c>
      <c r="D10" s="72">
        <v>300</v>
      </c>
      <c r="E10" s="72">
        <v>51.51</v>
      </c>
      <c r="F10" s="72">
        <v>0.12</v>
      </c>
      <c r="H10" s="72">
        <v>2221.56</v>
      </c>
      <c r="I10" s="72">
        <v>10.7</v>
      </c>
      <c r="K10" s="72">
        <v>1</v>
      </c>
      <c r="L10" s="72">
        <v>0</v>
      </c>
      <c r="M10" s="72">
        <v>0</v>
      </c>
      <c r="N10" s="71">
        <v>0.43</v>
      </c>
      <c r="O10" s="71">
        <v>0.38</v>
      </c>
      <c r="P10" s="71">
        <v>0</v>
      </c>
      <c r="Q10" s="71">
        <v>0.02</v>
      </c>
      <c r="R10" s="71">
        <v>0.03</v>
      </c>
      <c r="S10" s="71">
        <v>0</v>
      </c>
      <c r="T10" s="71">
        <v>0.14000000000000001</v>
      </c>
      <c r="U10" s="72">
        <v>0</v>
      </c>
      <c r="V10" s="72">
        <v>0</v>
      </c>
      <c r="W10" s="72">
        <v>0</v>
      </c>
      <c r="X10" s="70">
        <v>22</v>
      </c>
      <c r="Y10" s="70">
        <v>13.1</v>
      </c>
      <c r="Z10" s="70">
        <v>13.1</v>
      </c>
      <c r="AA10" s="70">
        <v>1.9</v>
      </c>
      <c r="AB10" s="70">
        <v>14.2</v>
      </c>
      <c r="AC10" s="72">
        <v>-999</v>
      </c>
      <c r="AD10" s="72">
        <v>-999</v>
      </c>
      <c r="AE10" s="72">
        <v>-999</v>
      </c>
      <c r="AF10" s="69">
        <v>-999</v>
      </c>
      <c r="AG10" s="69">
        <f t="shared" si="1"/>
        <v>204.57999999999998</v>
      </c>
      <c r="AH10" s="69"/>
      <c r="AI10" s="69"/>
      <c r="AJ10" s="72">
        <v>661</v>
      </c>
      <c r="AK10" s="72">
        <v>662</v>
      </c>
      <c r="AL10" s="72">
        <v>661</v>
      </c>
      <c r="AM10" s="72">
        <v>662</v>
      </c>
      <c r="AN10" s="72">
        <v>663</v>
      </c>
      <c r="AO10" s="72">
        <v>663</v>
      </c>
      <c r="AP10" s="72">
        <v>661</v>
      </c>
      <c r="AQ10" s="72">
        <v>0.25</v>
      </c>
      <c r="AR10" s="72">
        <v>1</v>
      </c>
      <c r="AS10" s="72">
        <v>10</v>
      </c>
      <c r="AT10" s="72">
        <v>1</v>
      </c>
      <c r="AU10" s="72">
        <v>200</v>
      </c>
      <c r="AV10" s="72">
        <v>999</v>
      </c>
      <c r="AW10" s="72">
        <v>999</v>
      </c>
      <c r="AX10" s="72">
        <v>999</v>
      </c>
      <c r="AY10" s="72">
        <v>661</v>
      </c>
      <c r="AZ10" s="72">
        <v>661</v>
      </c>
      <c r="BA10" s="72">
        <v>662</v>
      </c>
      <c r="BD10" s="72">
        <v>999</v>
      </c>
      <c r="BE10" s="72">
        <v>999</v>
      </c>
      <c r="BF10" s="72">
        <v>999</v>
      </c>
      <c r="BG10" s="72">
        <v>999</v>
      </c>
      <c r="BH10" s="72">
        <v>999</v>
      </c>
      <c r="BI10" s="72">
        <v>0</v>
      </c>
      <c r="BJ10" s="72">
        <v>0</v>
      </c>
      <c r="BK10" s="72">
        <v>100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661</v>
      </c>
      <c r="CC10" s="72">
        <v>662</v>
      </c>
      <c r="CD10" s="72">
        <v>663</v>
      </c>
      <c r="CE10" s="72">
        <v>664</v>
      </c>
      <c r="CF10" s="72">
        <v>665</v>
      </c>
      <c r="CG10" s="72">
        <v>666</v>
      </c>
      <c r="CH10" s="72">
        <v>667</v>
      </c>
      <c r="CI10" s="75">
        <v>1.08</v>
      </c>
      <c r="CJ10" s="76">
        <v>0.15</v>
      </c>
      <c r="CK10" s="75">
        <v>0.45</v>
      </c>
      <c r="CL10" s="75">
        <v>0.05</v>
      </c>
      <c r="CM10" s="75">
        <v>0.1</v>
      </c>
      <c r="CN10" s="75">
        <v>0.25</v>
      </c>
      <c r="CO10" s="75">
        <v>801</v>
      </c>
      <c r="CP10" s="75">
        <v>802</v>
      </c>
      <c r="CQ10" s="75">
        <v>803</v>
      </c>
      <c r="CR10" s="75">
        <v>804</v>
      </c>
      <c r="CS10" s="75">
        <v>805</v>
      </c>
      <c r="CT10" s="75">
        <v>0.15</v>
      </c>
      <c r="CU10" s="75">
        <v>0.05</v>
      </c>
      <c r="CV10" s="75">
        <v>0.8</v>
      </c>
      <c r="CW10" s="75">
        <v>806</v>
      </c>
      <c r="CX10" s="75">
        <v>807</v>
      </c>
      <c r="CY10" s="75">
        <v>808</v>
      </c>
      <c r="CZ10" s="72" t="s">
        <v>15</v>
      </c>
      <c r="DA10" s="72" t="s">
        <v>286</v>
      </c>
      <c r="DB10" s="72" t="s">
        <v>438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12"/>
  <sheetViews>
    <sheetView tabSelected="1" workbookViewId="0">
      <selection sqref="A1:AB12"/>
    </sheetView>
  </sheetViews>
  <sheetFormatPr defaultRowHeight="14.4"/>
  <sheetData>
    <row r="1" spans="1:28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  <c r="L1" s="2">
        <v>12</v>
      </c>
      <c r="M1" s="2">
        <v>13</v>
      </c>
      <c r="N1" s="2">
        <v>14</v>
      </c>
      <c r="O1" s="2">
        <v>15</v>
      </c>
      <c r="P1" s="2">
        <v>16</v>
      </c>
      <c r="Q1" s="2">
        <v>17</v>
      </c>
      <c r="R1" s="2">
        <v>18</v>
      </c>
      <c r="S1" s="2">
        <v>19</v>
      </c>
      <c r="T1" s="2">
        <v>20</v>
      </c>
      <c r="U1" s="2">
        <v>21</v>
      </c>
      <c r="V1" s="2">
        <v>22</v>
      </c>
      <c r="W1" s="2">
        <v>23</v>
      </c>
      <c r="X1" s="2">
        <v>24</v>
      </c>
      <c r="Y1" s="2"/>
      <c r="Z1" s="2"/>
      <c r="AA1" s="2"/>
      <c r="AB1" s="2"/>
    </row>
    <row r="2" spans="1:28">
      <c r="A2" s="2" t="s">
        <v>1</v>
      </c>
      <c r="B2" s="2" t="s">
        <v>120</v>
      </c>
      <c r="C2" s="2" t="s">
        <v>121</v>
      </c>
      <c r="D2" s="2" t="s">
        <v>9</v>
      </c>
      <c r="E2" s="2" t="s">
        <v>103</v>
      </c>
      <c r="F2" s="2" t="s">
        <v>104</v>
      </c>
      <c r="G2" s="76" t="s">
        <v>296</v>
      </c>
      <c r="H2" s="2" t="s">
        <v>275</v>
      </c>
      <c r="I2" s="2" t="s">
        <v>105</v>
      </c>
      <c r="J2" s="2" t="s">
        <v>106</v>
      </c>
      <c r="K2" s="2" t="s">
        <v>107</v>
      </c>
      <c r="L2" s="2" t="s">
        <v>16</v>
      </c>
      <c r="M2" s="2" t="s">
        <v>109</v>
      </c>
      <c r="N2" s="2" t="s">
        <v>140</v>
      </c>
      <c r="O2" s="2" t="s">
        <v>146</v>
      </c>
      <c r="P2" s="2" t="s">
        <v>147</v>
      </c>
      <c r="Q2" s="2" t="s">
        <v>148</v>
      </c>
      <c r="R2" s="2" t="s">
        <v>149</v>
      </c>
      <c r="S2" s="9" t="s">
        <v>496</v>
      </c>
      <c r="T2" s="9" t="s">
        <v>497</v>
      </c>
      <c r="U2" s="2" t="s">
        <v>459</v>
      </c>
      <c r="V2" s="2" t="s">
        <v>439</v>
      </c>
      <c r="W2" s="2" t="s">
        <v>440</v>
      </c>
      <c r="X2" s="2" t="s">
        <v>441</v>
      </c>
      <c r="Y2" s="2"/>
      <c r="Z2" s="2"/>
      <c r="AA2" s="2"/>
      <c r="AB2" s="2"/>
    </row>
    <row r="3" spans="1:28">
      <c r="A3" s="2">
        <v>100</v>
      </c>
      <c r="B3" s="2">
        <v>0.09</v>
      </c>
      <c r="C3" s="2">
        <v>0.09</v>
      </c>
      <c r="D3" s="2">
        <v>0.95</v>
      </c>
      <c r="E3" s="2">
        <v>0.48</v>
      </c>
      <c r="F3" s="2">
        <v>0.48</v>
      </c>
      <c r="G3" s="2">
        <v>0.48</v>
      </c>
      <c r="H3" s="2">
        <v>0.48</v>
      </c>
      <c r="I3" s="2">
        <v>3</v>
      </c>
      <c r="J3" s="2">
        <v>10</v>
      </c>
      <c r="K3" s="2">
        <v>3</v>
      </c>
      <c r="L3" s="2">
        <v>50</v>
      </c>
      <c r="M3" s="2">
        <v>190</v>
      </c>
      <c r="N3" s="2">
        <v>40</v>
      </c>
      <c r="O3" s="2">
        <v>800</v>
      </c>
      <c r="P3" s="2">
        <v>800</v>
      </c>
      <c r="Q3" s="2">
        <v>800</v>
      </c>
      <c r="R3" s="2">
        <v>800</v>
      </c>
      <c r="S3" s="9">
        <v>10</v>
      </c>
      <c r="T3" s="9">
        <v>0.9</v>
      </c>
      <c r="U3" s="2">
        <v>0</v>
      </c>
      <c r="V3" s="2">
        <v>200000</v>
      </c>
      <c r="W3" s="2">
        <v>1.2</v>
      </c>
      <c r="X3" s="2">
        <v>4</v>
      </c>
      <c r="Y3" s="2" t="s">
        <v>15</v>
      </c>
      <c r="Z3" s="2" t="s">
        <v>27</v>
      </c>
      <c r="AA3" s="2" t="s">
        <v>24</v>
      </c>
      <c r="AB3" s="2"/>
    </row>
    <row r="4" spans="1:28">
      <c r="A4" s="2">
        <v>150</v>
      </c>
      <c r="B4" s="2">
        <v>0.15</v>
      </c>
      <c r="C4" s="2">
        <v>0.15</v>
      </c>
      <c r="D4" s="2">
        <v>0.91</v>
      </c>
      <c r="E4" s="2">
        <v>0.25</v>
      </c>
      <c r="F4" s="2">
        <v>0.25</v>
      </c>
      <c r="G4" s="2">
        <v>0.25</v>
      </c>
      <c r="H4" s="2">
        <v>0.25</v>
      </c>
      <c r="I4" s="2">
        <v>3</v>
      </c>
      <c r="J4" s="2">
        <v>10</v>
      </c>
      <c r="K4" s="2">
        <v>3</v>
      </c>
      <c r="L4" s="2">
        <v>60</v>
      </c>
      <c r="M4" s="2">
        <v>190</v>
      </c>
      <c r="N4" s="2">
        <v>100</v>
      </c>
      <c r="O4" s="2">
        <v>750</v>
      </c>
      <c r="P4" s="2">
        <v>750</v>
      </c>
      <c r="Q4" s="2">
        <v>750</v>
      </c>
      <c r="R4" s="2">
        <v>750</v>
      </c>
      <c r="S4" s="9">
        <v>10</v>
      </c>
      <c r="T4" s="9">
        <v>0.9</v>
      </c>
      <c r="U4" s="2">
        <v>0</v>
      </c>
      <c r="V4" s="2">
        <v>200000</v>
      </c>
      <c r="W4" s="2">
        <v>1.2</v>
      </c>
      <c r="X4" s="2">
        <v>4</v>
      </c>
      <c r="Y4" s="2" t="s">
        <v>15</v>
      </c>
      <c r="Z4" s="2" t="s">
        <v>3</v>
      </c>
      <c r="AA4" s="2" t="s">
        <v>24</v>
      </c>
      <c r="AB4" s="2"/>
    </row>
    <row r="5" spans="1:28">
      <c r="A5" s="61">
        <v>551</v>
      </c>
      <c r="B5" s="61">
        <v>0.1</v>
      </c>
      <c r="C5" s="61">
        <v>0.1</v>
      </c>
      <c r="D5" s="61">
        <v>0.95</v>
      </c>
      <c r="E5" s="61">
        <v>0.48</v>
      </c>
      <c r="F5" s="61">
        <v>0.48</v>
      </c>
      <c r="G5" s="61">
        <v>0.6</v>
      </c>
      <c r="H5" s="61">
        <v>0.48</v>
      </c>
      <c r="I5" s="61">
        <v>3</v>
      </c>
      <c r="J5" s="61">
        <v>10</v>
      </c>
      <c r="K5" s="61">
        <v>3</v>
      </c>
      <c r="L5" s="61">
        <v>551</v>
      </c>
      <c r="M5" s="66">
        <v>-999</v>
      </c>
      <c r="N5" s="66">
        <v>-999</v>
      </c>
      <c r="O5" s="61">
        <v>800</v>
      </c>
      <c r="P5" s="61">
        <v>800</v>
      </c>
      <c r="Q5" s="61">
        <v>800</v>
      </c>
      <c r="R5" s="61">
        <v>800</v>
      </c>
      <c r="S5" s="9">
        <v>10</v>
      </c>
      <c r="T5" s="9">
        <v>0.9</v>
      </c>
      <c r="U5" s="61">
        <v>0</v>
      </c>
      <c r="V5" s="2">
        <v>200000</v>
      </c>
      <c r="W5" s="2">
        <v>1.2</v>
      </c>
      <c r="X5" s="2">
        <v>4</v>
      </c>
      <c r="Y5" s="61" t="s">
        <v>184</v>
      </c>
      <c r="Z5" s="61" t="s">
        <v>78</v>
      </c>
      <c r="AA5" s="61" t="s">
        <v>185</v>
      </c>
      <c r="AB5" s="66" t="s">
        <v>186</v>
      </c>
    </row>
    <row r="6" spans="1:28">
      <c r="A6" s="61">
        <v>552</v>
      </c>
      <c r="B6" s="61">
        <v>0.12</v>
      </c>
      <c r="C6" s="61">
        <v>0.12</v>
      </c>
      <c r="D6" s="61">
        <v>0.91</v>
      </c>
      <c r="E6" s="61">
        <v>0.25</v>
      </c>
      <c r="F6" s="61">
        <v>0.25</v>
      </c>
      <c r="G6" s="61">
        <v>0.6</v>
      </c>
      <c r="H6" s="61">
        <v>0.25</v>
      </c>
      <c r="I6" s="61">
        <v>3</v>
      </c>
      <c r="J6" s="61">
        <v>10</v>
      </c>
      <c r="K6" s="61">
        <v>3</v>
      </c>
      <c r="L6" s="61">
        <v>552</v>
      </c>
      <c r="M6" s="66">
        <v>-999</v>
      </c>
      <c r="N6" s="66">
        <v>-999</v>
      </c>
      <c r="O6" s="61">
        <v>799</v>
      </c>
      <c r="P6" s="61">
        <v>799</v>
      </c>
      <c r="Q6" s="61">
        <v>799</v>
      </c>
      <c r="R6" s="61">
        <v>799</v>
      </c>
      <c r="S6" s="9">
        <v>10</v>
      </c>
      <c r="T6" s="9">
        <v>0.9</v>
      </c>
      <c r="U6" s="61">
        <v>0</v>
      </c>
      <c r="V6" s="2">
        <v>200000</v>
      </c>
      <c r="W6" s="2">
        <v>1.2</v>
      </c>
      <c r="X6" s="2">
        <v>4</v>
      </c>
      <c r="Y6" s="61" t="s">
        <v>15</v>
      </c>
      <c r="Z6" s="61" t="s">
        <v>284</v>
      </c>
      <c r="AA6" s="61" t="s">
        <v>185</v>
      </c>
      <c r="AB6" s="66" t="s">
        <v>186</v>
      </c>
    </row>
    <row r="7" spans="1:28">
      <c r="A7" s="61">
        <v>553</v>
      </c>
      <c r="B7" s="61">
        <v>0.18</v>
      </c>
      <c r="C7" s="61">
        <v>0.18</v>
      </c>
      <c r="D7" s="61">
        <v>0.94</v>
      </c>
      <c r="E7" s="61">
        <v>0.8</v>
      </c>
      <c r="F7" s="61">
        <v>0.8</v>
      </c>
      <c r="G7" s="61">
        <v>1</v>
      </c>
      <c r="H7" s="61">
        <v>0.8</v>
      </c>
      <c r="I7" s="61">
        <v>3</v>
      </c>
      <c r="J7" s="61">
        <v>10</v>
      </c>
      <c r="K7" s="61">
        <v>3</v>
      </c>
      <c r="L7" s="61">
        <v>553</v>
      </c>
      <c r="M7" s="66">
        <v>-999</v>
      </c>
      <c r="N7" s="61">
        <v>-999</v>
      </c>
      <c r="O7" s="61">
        <v>55</v>
      </c>
      <c r="P7" s="61">
        <v>55</v>
      </c>
      <c r="Q7" s="61">
        <v>55</v>
      </c>
      <c r="R7" s="61">
        <v>55</v>
      </c>
      <c r="S7" s="9">
        <v>10</v>
      </c>
      <c r="T7" s="9">
        <v>0.9</v>
      </c>
      <c r="U7" s="61">
        <v>809</v>
      </c>
      <c r="V7" s="2">
        <v>200000</v>
      </c>
      <c r="W7" s="2">
        <v>1.2</v>
      </c>
      <c r="X7" s="2">
        <v>4</v>
      </c>
      <c r="Y7" s="61" t="s">
        <v>15</v>
      </c>
      <c r="Z7" s="61" t="s">
        <v>276</v>
      </c>
      <c r="AA7" s="61" t="s">
        <v>185</v>
      </c>
      <c r="AB7" s="66" t="s">
        <v>186</v>
      </c>
    </row>
    <row r="8" spans="1:28">
      <c r="A8" s="5">
        <v>661</v>
      </c>
      <c r="B8" s="5">
        <v>0.12</v>
      </c>
      <c r="C8" s="5">
        <v>0.12</v>
      </c>
      <c r="D8" s="5">
        <v>0.95</v>
      </c>
      <c r="E8" s="5">
        <v>0.48</v>
      </c>
      <c r="F8" s="5">
        <v>0.48</v>
      </c>
      <c r="G8" s="5">
        <v>0.48</v>
      </c>
      <c r="H8" s="5">
        <v>0.48</v>
      </c>
      <c r="I8" s="5">
        <v>3</v>
      </c>
      <c r="J8" s="5">
        <v>10</v>
      </c>
      <c r="K8" s="5">
        <v>3</v>
      </c>
      <c r="L8" s="5">
        <v>661</v>
      </c>
      <c r="M8" s="5">
        <v>120</v>
      </c>
      <c r="N8" s="5">
        <v>10</v>
      </c>
      <c r="O8" s="5">
        <v>800</v>
      </c>
      <c r="P8" s="5">
        <v>800</v>
      </c>
      <c r="Q8" s="5">
        <v>800</v>
      </c>
      <c r="R8" s="5">
        <v>800</v>
      </c>
      <c r="S8" s="9">
        <v>10</v>
      </c>
      <c r="T8" s="9">
        <v>0.9</v>
      </c>
      <c r="U8" s="5">
        <v>0</v>
      </c>
      <c r="V8" s="2">
        <v>200000</v>
      </c>
      <c r="W8" s="2">
        <v>1.2</v>
      </c>
      <c r="X8" s="2">
        <v>4</v>
      </c>
      <c r="Y8" s="5" t="s">
        <v>15</v>
      </c>
      <c r="Z8" s="5" t="s">
        <v>78</v>
      </c>
      <c r="AA8" s="5" t="s">
        <v>286</v>
      </c>
      <c r="AB8" s="5"/>
    </row>
    <row r="9" spans="1:28">
      <c r="A9" s="5">
        <v>662</v>
      </c>
      <c r="B9" s="5">
        <v>0.15</v>
      </c>
      <c r="C9" s="5">
        <v>0.15</v>
      </c>
      <c r="D9" s="5">
        <v>0.91</v>
      </c>
      <c r="E9" s="5">
        <v>0.25</v>
      </c>
      <c r="F9" s="5">
        <v>0.25</v>
      </c>
      <c r="G9" s="5">
        <v>0.25</v>
      </c>
      <c r="H9" s="5">
        <v>0.25</v>
      </c>
      <c r="I9" s="5">
        <v>3</v>
      </c>
      <c r="J9" s="5">
        <v>10</v>
      </c>
      <c r="K9" s="5">
        <v>3</v>
      </c>
      <c r="L9" s="5">
        <v>661</v>
      </c>
      <c r="M9" s="5">
        <v>120</v>
      </c>
      <c r="N9" s="5">
        <v>8.5</v>
      </c>
      <c r="O9" s="5">
        <v>799</v>
      </c>
      <c r="P9" s="5">
        <v>799</v>
      </c>
      <c r="Q9" s="5">
        <v>799</v>
      </c>
      <c r="R9" s="5">
        <v>799</v>
      </c>
      <c r="S9" s="9">
        <v>10</v>
      </c>
      <c r="T9" s="9">
        <v>0.9</v>
      </c>
      <c r="U9" s="5">
        <v>0</v>
      </c>
      <c r="V9" s="2">
        <v>200000</v>
      </c>
      <c r="W9" s="2">
        <v>1.2</v>
      </c>
      <c r="X9" s="2">
        <v>4</v>
      </c>
      <c r="Y9" s="5" t="s">
        <v>15</v>
      </c>
      <c r="Z9" s="5" t="s">
        <v>284</v>
      </c>
      <c r="AA9" s="5" t="s">
        <v>286</v>
      </c>
      <c r="AB9" s="5"/>
    </row>
    <row r="10" spans="1:28">
      <c r="A10" s="6">
        <v>663</v>
      </c>
      <c r="B10" s="6">
        <v>0.21</v>
      </c>
      <c r="C10" s="6">
        <v>0.21</v>
      </c>
      <c r="D10" s="6">
        <v>0.93</v>
      </c>
      <c r="E10" s="6">
        <v>1</v>
      </c>
      <c r="F10" s="6">
        <v>1</v>
      </c>
      <c r="G10" s="6">
        <v>1</v>
      </c>
      <c r="H10" s="6">
        <v>1</v>
      </c>
      <c r="I10" s="6">
        <v>2</v>
      </c>
      <c r="J10" s="6">
        <v>1.2999999999999999E-2</v>
      </c>
      <c r="K10" s="6">
        <v>1.71</v>
      </c>
      <c r="L10" s="6">
        <v>661</v>
      </c>
      <c r="M10" s="6">
        <v>-999</v>
      </c>
      <c r="N10" s="6">
        <v>-999</v>
      </c>
      <c r="O10" s="6">
        <v>55</v>
      </c>
      <c r="P10" s="6">
        <v>55</v>
      </c>
      <c r="Q10" s="6">
        <v>55</v>
      </c>
      <c r="R10" s="6">
        <v>55</v>
      </c>
      <c r="S10" s="9">
        <v>10</v>
      </c>
      <c r="T10" s="9">
        <v>0.9</v>
      </c>
      <c r="U10" s="6">
        <v>809</v>
      </c>
      <c r="V10" s="2">
        <v>200000</v>
      </c>
      <c r="W10" s="2">
        <v>1.2</v>
      </c>
      <c r="X10" s="2">
        <v>4</v>
      </c>
      <c r="Y10" s="6" t="s">
        <v>15</v>
      </c>
      <c r="Z10" s="6" t="s">
        <v>287</v>
      </c>
      <c r="AA10" s="5" t="s">
        <v>286</v>
      </c>
      <c r="AB10" s="5"/>
    </row>
    <row r="11" spans="1:28">
      <c r="A11" s="2">
        <v>-9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7"/>
      <c r="P11" s="7"/>
      <c r="Q11" s="7"/>
      <c r="R11" s="7"/>
      <c r="S11" s="9"/>
      <c r="T11" s="9"/>
      <c r="U11" s="7"/>
      <c r="V11" s="7"/>
      <c r="W11" s="7"/>
      <c r="X11" s="2"/>
      <c r="Y11" s="2"/>
      <c r="Z11" s="2"/>
      <c r="AA11" s="2"/>
      <c r="AB11" s="2"/>
    </row>
    <row r="12" spans="1:28">
      <c r="A12" s="2">
        <v>-9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7"/>
      <c r="P12" s="7"/>
      <c r="Q12" s="7"/>
      <c r="R12" s="7"/>
      <c r="S12" s="9"/>
      <c r="T12" s="9"/>
      <c r="U12" s="7"/>
      <c r="V12" s="7"/>
      <c r="W12" s="7"/>
      <c r="X12" s="2"/>
      <c r="Y12" s="2"/>
      <c r="Z12" s="2"/>
      <c r="AA12" s="2"/>
      <c r="AB12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O14"/>
  <sheetViews>
    <sheetView topLeftCell="AG1" workbookViewId="0">
      <selection activeCell="AL17" sqref="AL17"/>
    </sheetView>
  </sheetViews>
  <sheetFormatPr defaultColWidth="9.09765625" defaultRowHeight="13.25"/>
  <cols>
    <col min="1" max="11" width="9.09765625" style="9"/>
    <col min="12" max="12" width="16.296875" style="9" customWidth="1"/>
    <col min="13" max="13" width="14.3984375" style="9" customWidth="1"/>
    <col min="14" max="37" width="9.09765625" style="9"/>
    <col min="38" max="38" width="4.296875" style="9" customWidth="1"/>
    <col min="39" max="39" width="17.8984375" style="9" customWidth="1"/>
    <col min="40" max="16384" width="9.09765625" style="9"/>
  </cols>
  <sheetData>
    <row r="1" spans="1:41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9">
        <v>23</v>
      </c>
      <c r="X1" s="9">
        <v>24</v>
      </c>
      <c r="Y1" s="9">
        <v>25</v>
      </c>
      <c r="Z1" s="9">
        <v>26</v>
      </c>
      <c r="AA1" s="9">
        <v>27</v>
      </c>
      <c r="AB1" s="9">
        <v>28</v>
      </c>
      <c r="AC1" s="9">
        <v>29</v>
      </c>
      <c r="AD1" s="2">
        <v>30</v>
      </c>
      <c r="AE1" s="2">
        <v>31</v>
      </c>
      <c r="AF1" s="2">
        <v>32</v>
      </c>
      <c r="AG1" s="9">
        <v>33</v>
      </c>
      <c r="AH1" s="9">
        <v>34</v>
      </c>
      <c r="AI1" s="9">
        <v>35</v>
      </c>
      <c r="AJ1" s="9">
        <v>36</v>
      </c>
      <c r="AK1" s="9">
        <v>37</v>
      </c>
    </row>
    <row r="2" spans="1:41">
      <c r="A2" s="9" t="s">
        <v>1</v>
      </c>
      <c r="B2" s="9" t="s">
        <v>120</v>
      </c>
      <c r="C2" s="9" t="s">
        <v>121</v>
      </c>
      <c r="D2" s="9" t="s">
        <v>9</v>
      </c>
      <c r="E2" s="9" t="s">
        <v>103</v>
      </c>
      <c r="F2" s="9" t="s">
        <v>104</v>
      </c>
      <c r="G2" s="15" t="s">
        <v>296</v>
      </c>
      <c r="H2" s="9" t="s">
        <v>275</v>
      </c>
      <c r="I2" s="9" t="s">
        <v>105</v>
      </c>
      <c r="J2" s="9" t="s">
        <v>106</v>
      </c>
      <c r="K2" s="9" t="s">
        <v>107</v>
      </c>
      <c r="L2" s="9" t="s">
        <v>16</v>
      </c>
      <c r="M2" s="9" t="s">
        <v>109</v>
      </c>
      <c r="N2" s="9" t="s">
        <v>10</v>
      </c>
      <c r="O2" s="9" t="s">
        <v>2</v>
      </c>
      <c r="P2" s="9" t="s">
        <v>11</v>
      </c>
      <c r="Q2" s="9" t="s">
        <v>12</v>
      </c>
      <c r="R2" s="9" t="s">
        <v>110</v>
      </c>
      <c r="S2" s="9" t="s">
        <v>111</v>
      </c>
      <c r="T2" s="9" t="s">
        <v>494</v>
      </c>
      <c r="U2" s="9" t="s">
        <v>495</v>
      </c>
      <c r="V2" s="9" t="s">
        <v>117</v>
      </c>
      <c r="W2" s="9" t="s">
        <v>112</v>
      </c>
      <c r="X2" s="9" t="s">
        <v>113</v>
      </c>
      <c r="Y2" s="9" t="s">
        <v>114</v>
      </c>
      <c r="Z2" s="9" t="s">
        <v>115</v>
      </c>
      <c r="AA2" s="9" t="s">
        <v>116</v>
      </c>
      <c r="AB2" s="9" t="s">
        <v>146</v>
      </c>
      <c r="AC2" s="9" t="s">
        <v>147</v>
      </c>
      <c r="AD2" s="9" t="s">
        <v>148</v>
      </c>
      <c r="AE2" s="9" t="s">
        <v>149</v>
      </c>
      <c r="AF2" s="9" t="s">
        <v>496</v>
      </c>
      <c r="AG2" s="9" t="s">
        <v>497</v>
      </c>
      <c r="AH2" s="9" t="s">
        <v>459</v>
      </c>
      <c r="AI2" s="2" t="s">
        <v>439</v>
      </c>
      <c r="AJ2" s="2" t="s">
        <v>440</v>
      </c>
      <c r="AK2" s="2" t="s">
        <v>441</v>
      </c>
    </row>
    <row r="3" spans="1:41">
      <c r="A3" s="9">
        <v>300</v>
      </c>
      <c r="B3" s="9">
        <v>0.1</v>
      </c>
      <c r="C3" s="9">
        <v>0.1</v>
      </c>
      <c r="D3" s="9">
        <v>0.98</v>
      </c>
      <c r="E3" s="9">
        <v>1.3</v>
      </c>
      <c r="F3" s="9">
        <v>1.3</v>
      </c>
      <c r="G3" s="9">
        <v>1.3</v>
      </c>
      <c r="H3" s="9">
        <v>1.3</v>
      </c>
      <c r="I3" s="9">
        <v>2</v>
      </c>
      <c r="J3" s="9">
        <v>1.2999999999999999E-2</v>
      </c>
      <c r="K3" s="9">
        <v>1.71</v>
      </c>
      <c r="L3" s="9">
        <v>70</v>
      </c>
      <c r="M3" s="9">
        <v>190</v>
      </c>
      <c r="N3" s="9">
        <v>5</v>
      </c>
      <c r="O3" s="9">
        <v>10</v>
      </c>
      <c r="P3" s="9">
        <v>300</v>
      </c>
      <c r="Q3" s="9">
        <v>-450</v>
      </c>
      <c r="R3" s="9">
        <v>4</v>
      </c>
      <c r="S3" s="9">
        <v>5.0999999999999996</v>
      </c>
      <c r="T3" s="9">
        <v>-999</v>
      </c>
      <c r="U3" s="9">
        <v>-999</v>
      </c>
      <c r="V3" s="9">
        <v>7.4</v>
      </c>
      <c r="W3" s="9">
        <v>1</v>
      </c>
      <c r="X3" s="9">
        <v>0.04</v>
      </c>
      <c r="Y3" s="9">
        <v>1E-3</v>
      </c>
      <c r="Z3" s="9">
        <v>-1.5</v>
      </c>
      <c r="AA3" s="9">
        <v>1.5E-3</v>
      </c>
      <c r="AB3" s="9">
        <v>200</v>
      </c>
      <c r="AC3" s="9">
        <v>200</v>
      </c>
      <c r="AD3" s="9">
        <v>200</v>
      </c>
      <c r="AE3" s="9">
        <v>200</v>
      </c>
      <c r="AF3" s="9">
        <v>10</v>
      </c>
      <c r="AG3" s="9">
        <v>0.9</v>
      </c>
      <c r="AH3" s="9">
        <v>200</v>
      </c>
      <c r="AI3" s="2">
        <v>100000</v>
      </c>
      <c r="AJ3" s="2">
        <v>1.2</v>
      </c>
      <c r="AK3" s="2">
        <v>4</v>
      </c>
      <c r="AL3" s="9" t="s">
        <v>15</v>
      </c>
      <c r="AM3" s="9" t="s">
        <v>4</v>
      </c>
      <c r="AN3" s="9" t="s">
        <v>24</v>
      </c>
      <c r="AO3" s="9" t="s">
        <v>34</v>
      </c>
    </row>
    <row r="4" spans="1:41">
      <c r="A4" s="9">
        <v>330</v>
      </c>
      <c r="B4" s="9">
        <v>0.16</v>
      </c>
      <c r="C4" s="9">
        <v>0.16</v>
      </c>
      <c r="D4" s="9">
        <v>0.98</v>
      </c>
      <c r="E4" s="9">
        <v>0.3</v>
      </c>
      <c r="F4" s="9">
        <v>0.8</v>
      </c>
      <c r="G4" s="9">
        <v>0.8</v>
      </c>
      <c r="H4" s="9">
        <v>0.8</v>
      </c>
      <c r="I4" s="9">
        <v>2</v>
      </c>
      <c r="J4" s="9">
        <v>1.2999999999999999E-2</v>
      </c>
      <c r="K4" s="9">
        <v>1.71</v>
      </c>
      <c r="L4" s="9">
        <v>70</v>
      </c>
      <c r="M4" s="9">
        <v>190</v>
      </c>
      <c r="N4" s="9">
        <v>5</v>
      </c>
      <c r="O4" s="9">
        <v>10</v>
      </c>
      <c r="P4" s="9">
        <v>300</v>
      </c>
      <c r="Q4" s="9">
        <v>-450</v>
      </c>
      <c r="R4" s="9">
        <v>1</v>
      </c>
      <c r="S4" s="9">
        <v>5.5</v>
      </c>
      <c r="T4" s="9">
        <v>0.2</v>
      </c>
      <c r="U4" s="9">
        <v>0.6</v>
      </c>
      <c r="V4" s="9">
        <v>11.7</v>
      </c>
      <c r="W4" s="9">
        <v>1</v>
      </c>
      <c r="X4" s="9">
        <v>0.04</v>
      </c>
      <c r="Y4" s="9">
        <v>1E-3</v>
      </c>
      <c r="Z4" s="9">
        <v>-1.5</v>
      </c>
      <c r="AA4" s="9">
        <v>1.5E-3</v>
      </c>
      <c r="AB4" s="9">
        <v>200</v>
      </c>
      <c r="AC4" s="9">
        <v>200</v>
      </c>
      <c r="AD4" s="9">
        <v>200</v>
      </c>
      <c r="AE4" s="9">
        <v>200</v>
      </c>
      <c r="AF4" s="9">
        <v>10</v>
      </c>
      <c r="AG4" s="9">
        <v>0.9</v>
      </c>
      <c r="AH4" s="9">
        <v>200</v>
      </c>
      <c r="AI4" s="2">
        <v>100000</v>
      </c>
      <c r="AJ4" s="2">
        <v>1.2</v>
      </c>
      <c r="AK4" s="2">
        <v>4</v>
      </c>
      <c r="AL4" s="9" t="s">
        <v>15</v>
      </c>
      <c r="AM4" s="9" t="s">
        <v>5</v>
      </c>
      <c r="AN4" s="9" t="s">
        <v>24</v>
      </c>
      <c r="AO4" s="9" t="s">
        <v>34</v>
      </c>
    </row>
    <row r="5" spans="1:41">
      <c r="A5" s="9">
        <v>360</v>
      </c>
      <c r="B5" s="9">
        <v>0.19</v>
      </c>
      <c r="C5" s="9">
        <v>0.19</v>
      </c>
      <c r="D5" s="9">
        <v>0.93</v>
      </c>
      <c r="E5" s="9">
        <v>1.9</v>
      </c>
      <c r="F5" s="9">
        <v>1.9</v>
      </c>
      <c r="G5" s="9">
        <v>1.9</v>
      </c>
      <c r="H5" s="9">
        <v>1.9</v>
      </c>
      <c r="I5" s="9">
        <v>3</v>
      </c>
      <c r="J5" s="9">
        <v>10</v>
      </c>
      <c r="K5" s="9">
        <v>3</v>
      </c>
      <c r="L5" s="9">
        <v>70</v>
      </c>
      <c r="M5" s="9">
        <v>190</v>
      </c>
      <c r="N5" s="9">
        <v>5</v>
      </c>
      <c r="O5" s="9">
        <v>10</v>
      </c>
      <c r="P5" s="9">
        <v>300</v>
      </c>
      <c r="Q5" s="9">
        <v>-450</v>
      </c>
      <c r="R5" s="9">
        <v>1.6</v>
      </c>
      <c r="S5" s="9">
        <v>5.9</v>
      </c>
      <c r="T5" s="9">
        <v>-999</v>
      </c>
      <c r="U5" s="9">
        <v>-999</v>
      </c>
      <c r="V5" s="9">
        <v>40</v>
      </c>
      <c r="W5" s="9">
        <v>1</v>
      </c>
      <c r="X5" s="9">
        <v>0.04</v>
      </c>
      <c r="Y5" s="9">
        <v>1E-3</v>
      </c>
      <c r="Z5" s="9">
        <v>-1.5</v>
      </c>
      <c r="AA5" s="9">
        <v>1.5E-3</v>
      </c>
      <c r="AB5" s="9">
        <v>200</v>
      </c>
      <c r="AC5" s="9">
        <v>200</v>
      </c>
      <c r="AD5" s="9">
        <v>200</v>
      </c>
      <c r="AE5" s="9">
        <v>200</v>
      </c>
      <c r="AF5" s="9">
        <v>10</v>
      </c>
      <c r="AG5" s="9">
        <v>0.9</v>
      </c>
      <c r="AH5" s="9">
        <v>200</v>
      </c>
      <c r="AI5" s="2">
        <v>100000</v>
      </c>
      <c r="AJ5" s="2">
        <v>1.2</v>
      </c>
      <c r="AK5" s="2">
        <v>4</v>
      </c>
      <c r="AL5" s="9" t="s">
        <v>15</v>
      </c>
      <c r="AM5" s="9" t="s">
        <v>6</v>
      </c>
      <c r="AN5" s="9" t="s">
        <v>24</v>
      </c>
      <c r="AO5" s="9" t="s">
        <v>34</v>
      </c>
    </row>
    <row r="6" spans="1:41">
      <c r="A6" s="9">
        <v>361</v>
      </c>
      <c r="B6" s="9">
        <v>0.19</v>
      </c>
      <c r="C6" s="9">
        <v>0.19</v>
      </c>
      <c r="D6" s="9">
        <v>0.93</v>
      </c>
      <c r="E6" s="9">
        <v>1.9</v>
      </c>
      <c r="F6" s="9">
        <v>1.9</v>
      </c>
      <c r="G6" s="9">
        <v>1.9</v>
      </c>
      <c r="H6" s="9">
        <v>1.9</v>
      </c>
      <c r="I6" s="9">
        <v>2</v>
      </c>
      <c r="J6" s="9">
        <v>0.13</v>
      </c>
      <c r="K6" s="9">
        <v>1.71</v>
      </c>
      <c r="L6" s="9">
        <v>70</v>
      </c>
      <c r="M6" s="9">
        <v>190</v>
      </c>
      <c r="N6" s="9">
        <v>5</v>
      </c>
      <c r="O6" s="9">
        <v>10</v>
      </c>
      <c r="P6" s="9">
        <v>300</v>
      </c>
      <c r="Q6" s="9">
        <v>-450</v>
      </c>
      <c r="R6" s="9">
        <v>1.6</v>
      </c>
      <c r="S6" s="9">
        <v>5.9</v>
      </c>
      <c r="T6" s="9">
        <v>-999</v>
      </c>
      <c r="U6" s="9">
        <v>-999</v>
      </c>
      <c r="V6" s="9">
        <v>33.1</v>
      </c>
      <c r="W6" s="9">
        <v>1</v>
      </c>
      <c r="X6" s="9">
        <v>0.04</v>
      </c>
      <c r="Y6" s="9">
        <v>1E-3</v>
      </c>
      <c r="Z6" s="9">
        <v>-1.5</v>
      </c>
      <c r="AA6" s="9">
        <v>1.5E-3</v>
      </c>
      <c r="AB6" s="9">
        <v>200</v>
      </c>
      <c r="AC6" s="9">
        <v>200</v>
      </c>
      <c r="AD6" s="9">
        <v>200</v>
      </c>
      <c r="AE6" s="9">
        <v>200</v>
      </c>
      <c r="AF6" s="9">
        <v>10</v>
      </c>
      <c r="AG6" s="9">
        <v>0.9</v>
      </c>
      <c r="AH6" s="9">
        <v>200</v>
      </c>
      <c r="AI6" s="2">
        <v>100000</v>
      </c>
      <c r="AJ6" s="2">
        <v>1.2</v>
      </c>
      <c r="AK6" s="2">
        <v>4</v>
      </c>
      <c r="AL6" s="9" t="s">
        <v>15</v>
      </c>
      <c r="AM6" s="9" t="s">
        <v>7</v>
      </c>
      <c r="AN6" s="9" t="s">
        <v>24</v>
      </c>
      <c r="AO6" s="9" t="s">
        <v>34</v>
      </c>
    </row>
    <row r="7" spans="1:41">
      <c r="A7" s="4">
        <v>551</v>
      </c>
      <c r="B7" s="4">
        <v>0.1</v>
      </c>
      <c r="C7" s="4">
        <v>0.1</v>
      </c>
      <c r="D7" s="4">
        <v>0.98</v>
      </c>
      <c r="E7" s="4">
        <v>1.3</v>
      </c>
      <c r="F7" s="4">
        <v>1.3</v>
      </c>
      <c r="G7" s="4">
        <v>1.8</v>
      </c>
      <c r="H7" s="4">
        <v>1.3</v>
      </c>
      <c r="I7" s="4">
        <v>2</v>
      </c>
      <c r="J7" s="4">
        <v>1.2999999999999999E-2</v>
      </c>
      <c r="K7" s="4">
        <v>1.71</v>
      </c>
      <c r="L7" s="4">
        <v>553</v>
      </c>
      <c r="M7" s="4">
        <v>-999</v>
      </c>
      <c r="N7" s="4">
        <v>6</v>
      </c>
      <c r="O7" s="4">
        <v>11</v>
      </c>
      <c r="P7" s="4">
        <v>300</v>
      </c>
      <c r="Q7" s="4">
        <v>-450</v>
      </c>
      <c r="R7" s="4">
        <v>4</v>
      </c>
      <c r="S7" s="4">
        <v>5.0999999999999996</v>
      </c>
      <c r="T7" s="4">
        <v>-999</v>
      </c>
      <c r="U7" s="4">
        <v>-999</v>
      </c>
      <c r="V7" s="4">
        <v>7.4</v>
      </c>
      <c r="W7" s="4">
        <v>1</v>
      </c>
      <c r="X7" s="4">
        <v>0.04</v>
      </c>
      <c r="Y7" s="4">
        <v>1E-3</v>
      </c>
      <c r="Z7" s="4">
        <v>-1.5</v>
      </c>
      <c r="AA7" s="4">
        <v>1.5E-3</v>
      </c>
      <c r="AB7" s="4">
        <v>200</v>
      </c>
      <c r="AC7" s="4">
        <v>200</v>
      </c>
      <c r="AD7" s="4">
        <v>200</v>
      </c>
      <c r="AE7" s="4">
        <v>200</v>
      </c>
      <c r="AF7" s="4">
        <v>10</v>
      </c>
      <c r="AG7" s="4">
        <v>0.9</v>
      </c>
      <c r="AH7" s="9">
        <v>200</v>
      </c>
      <c r="AI7" s="2">
        <v>100000</v>
      </c>
      <c r="AJ7" s="2">
        <v>1.2</v>
      </c>
      <c r="AK7" s="2">
        <v>4</v>
      </c>
      <c r="AL7" s="4" t="s">
        <v>15</v>
      </c>
      <c r="AM7" s="4" t="s">
        <v>81</v>
      </c>
      <c r="AN7" s="4" t="s">
        <v>185</v>
      </c>
      <c r="AO7" s="4" t="s">
        <v>186</v>
      </c>
    </row>
    <row r="8" spans="1:41">
      <c r="A8" s="4">
        <v>552</v>
      </c>
      <c r="B8" s="4">
        <v>0.12</v>
      </c>
      <c r="C8" s="4">
        <v>0.18</v>
      </c>
      <c r="D8" s="4">
        <v>0.98</v>
      </c>
      <c r="E8" s="4">
        <v>0.3</v>
      </c>
      <c r="F8" s="4">
        <v>0.8</v>
      </c>
      <c r="G8" s="4">
        <v>1</v>
      </c>
      <c r="H8" s="4">
        <v>0.8</v>
      </c>
      <c r="I8" s="4">
        <v>2</v>
      </c>
      <c r="J8" s="4">
        <v>1.2999999999999999E-2</v>
      </c>
      <c r="K8" s="4">
        <v>1.71</v>
      </c>
      <c r="L8" s="4">
        <v>553</v>
      </c>
      <c r="M8" s="4">
        <v>-999</v>
      </c>
      <c r="N8" s="4">
        <v>6</v>
      </c>
      <c r="O8" s="4">
        <v>11</v>
      </c>
      <c r="P8" s="4">
        <v>300</v>
      </c>
      <c r="Q8" s="4">
        <v>-450</v>
      </c>
      <c r="R8" s="4">
        <v>1</v>
      </c>
      <c r="S8" s="4">
        <v>5.5</v>
      </c>
      <c r="T8" s="4">
        <v>0.2</v>
      </c>
      <c r="U8" s="4">
        <v>0.6</v>
      </c>
      <c r="V8" s="10">
        <v>11.7</v>
      </c>
      <c r="W8" s="4">
        <v>1</v>
      </c>
      <c r="X8" s="4">
        <v>0.04</v>
      </c>
      <c r="Y8" s="4">
        <v>1E-3</v>
      </c>
      <c r="Z8" s="4">
        <v>-1.5</v>
      </c>
      <c r="AA8" s="4">
        <v>1.5E-3</v>
      </c>
      <c r="AB8" s="4">
        <v>200</v>
      </c>
      <c r="AC8" s="4">
        <v>200</v>
      </c>
      <c r="AD8" s="4">
        <v>200</v>
      </c>
      <c r="AE8" s="4">
        <v>200</v>
      </c>
      <c r="AF8" s="4">
        <v>10</v>
      </c>
      <c r="AG8" s="4">
        <v>0.9</v>
      </c>
      <c r="AH8" s="9">
        <v>200</v>
      </c>
      <c r="AI8" s="2">
        <v>100000</v>
      </c>
      <c r="AJ8" s="2">
        <v>1.2</v>
      </c>
      <c r="AK8" s="2">
        <v>4</v>
      </c>
      <c r="AL8" s="4" t="s">
        <v>15</v>
      </c>
      <c r="AM8" s="4" t="s">
        <v>82</v>
      </c>
      <c r="AN8" s="4" t="s">
        <v>185</v>
      </c>
      <c r="AO8" s="4" t="s">
        <v>186</v>
      </c>
    </row>
    <row r="9" spans="1:41">
      <c r="A9" s="4">
        <v>553</v>
      </c>
      <c r="B9" s="4">
        <v>0.18</v>
      </c>
      <c r="C9" s="4">
        <v>0.21</v>
      </c>
      <c r="D9" s="4">
        <v>0.93</v>
      </c>
      <c r="E9" s="4">
        <v>1.9</v>
      </c>
      <c r="F9" s="4">
        <v>1.9</v>
      </c>
      <c r="G9" s="4">
        <v>2</v>
      </c>
      <c r="H9" s="4">
        <v>1.9</v>
      </c>
      <c r="I9" s="4">
        <v>2</v>
      </c>
      <c r="J9" s="4">
        <v>1.2999999999999999E-2</v>
      </c>
      <c r="K9" s="4">
        <v>1.71</v>
      </c>
      <c r="L9" s="4">
        <v>553</v>
      </c>
      <c r="M9" s="4">
        <v>-999</v>
      </c>
      <c r="N9" s="4">
        <v>6</v>
      </c>
      <c r="O9" s="4">
        <v>11</v>
      </c>
      <c r="P9" s="4">
        <v>300</v>
      </c>
      <c r="Q9" s="4">
        <v>-450</v>
      </c>
      <c r="R9" s="4">
        <v>1.6</v>
      </c>
      <c r="S9" s="4">
        <v>5.9</v>
      </c>
      <c r="T9" s="4">
        <v>-999</v>
      </c>
      <c r="U9" s="4">
        <v>-999</v>
      </c>
      <c r="V9" s="4">
        <v>33.1</v>
      </c>
      <c r="W9" s="4">
        <v>1</v>
      </c>
      <c r="X9" s="4">
        <v>0.04</v>
      </c>
      <c r="Y9" s="4">
        <v>1E-3</v>
      </c>
      <c r="Z9" s="4">
        <v>-1.5</v>
      </c>
      <c r="AA9" s="4">
        <v>1.5E-3</v>
      </c>
      <c r="AB9" s="4">
        <v>200</v>
      </c>
      <c r="AC9" s="4">
        <v>200</v>
      </c>
      <c r="AD9" s="4">
        <v>200</v>
      </c>
      <c r="AE9" s="4">
        <v>200</v>
      </c>
      <c r="AF9" s="4">
        <v>10</v>
      </c>
      <c r="AG9" s="4">
        <v>0.9</v>
      </c>
      <c r="AH9" s="9">
        <v>200</v>
      </c>
      <c r="AI9" s="2">
        <v>100000</v>
      </c>
      <c r="AJ9" s="2">
        <v>1.2</v>
      </c>
      <c r="AK9" s="2">
        <v>4</v>
      </c>
      <c r="AL9" s="4" t="s">
        <v>15</v>
      </c>
      <c r="AM9" s="4" t="s">
        <v>70</v>
      </c>
      <c r="AN9" s="4" t="s">
        <v>185</v>
      </c>
      <c r="AO9" s="4" t="s">
        <v>186</v>
      </c>
    </row>
    <row r="10" spans="1:41">
      <c r="A10" s="6">
        <v>661</v>
      </c>
      <c r="B10" s="6">
        <v>0.1</v>
      </c>
      <c r="C10" s="6">
        <v>0.1</v>
      </c>
      <c r="D10" s="6">
        <v>0.98</v>
      </c>
      <c r="E10" s="6">
        <v>1.3</v>
      </c>
      <c r="F10" s="6">
        <v>1.3</v>
      </c>
      <c r="G10" s="6">
        <v>1.3</v>
      </c>
      <c r="H10" s="6">
        <v>1.3</v>
      </c>
      <c r="I10" s="6">
        <v>2</v>
      </c>
      <c r="J10" s="6">
        <v>1.2999999999999999E-2</v>
      </c>
      <c r="K10" s="6">
        <v>1.71</v>
      </c>
      <c r="L10" s="6">
        <v>661</v>
      </c>
      <c r="M10" s="6">
        <v>120</v>
      </c>
      <c r="N10" s="6">
        <v>5</v>
      </c>
      <c r="O10" s="6">
        <v>11</v>
      </c>
      <c r="P10" s="6">
        <v>300</v>
      </c>
      <c r="Q10" s="6">
        <v>-450</v>
      </c>
      <c r="R10" s="6">
        <v>4</v>
      </c>
      <c r="S10" s="6">
        <v>5.0999999999999996</v>
      </c>
      <c r="T10" s="6">
        <v>-999</v>
      </c>
      <c r="U10" s="6">
        <v>-999</v>
      </c>
      <c r="V10" s="6">
        <v>7.4</v>
      </c>
      <c r="W10" s="6">
        <v>0</v>
      </c>
      <c r="X10" s="6">
        <v>0.03</v>
      </c>
      <c r="Y10" s="6">
        <v>5.0000000000000001E-4</v>
      </c>
      <c r="Z10" s="6">
        <v>0.03</v>
      </c>
      <c r="AA10" s="6">
        <v>5.0000000000000001E-4</v>
      </c>
      <c r="AB10" s="6">
        <v>200</v>
      </c>
      <c r="AC10" s="6">
        <v>200</v>
      </c>
      <c r="AD10" s="6">
        <v>200</v>
      </c>
      <c r="AE10" s="6">
        <v>200</v>
      </c>
      <c r="AF10" s="6">
        <v>10</v>
      </c>
      <c r="AG10" s="6">
        <v>0.9</v>
      </c>
      <c r="AH10" s="9">
        <v>810</v>
      </c>
      <c r="AI10" s="2">
        <v>100000</v>
      </c>
      <c r="AJ10" s="2">
        <v>1.2</v>
      </c>
      <c r="AK10" s="2">
        <v>4</v>
      </c>
      <c r="AL10" s="6" t="s">
        <v>15</v>
      </c>
      <c r="AM10" s="6" t="s">
        <v>81</v>
      </c>
      <c r="AN10" s="6" t="s">
        <v>286</v>
      </c>
      <c r="AO10" s="6"/>
    </row>
    <row r="11" spans="1:41">
      <c r="A11" s="6">
        <v>662</v>
      </c>
      <c r="B11" s="6">
        <v>0.12</v>
      </c>
      <c r="C11" s="6">
        <v>0.18</v>
      </c>
      <c r="D11" s="6">
        <v>0.98</v>
      </c>
      <c r="E11" s="6">
        <v>0.3</v>
      </c>
      <c r="F11" s="6">
        <v>0.8</v>
      </c>
      <c r="G11" s="6">
        <v>0.8</v>
      </c>
      <c r="H11" s="6">
        <v>0.8</v>
      </c>
      <c r="I11" s="6">
        <v>2</v>
      </c>
      <c r="J11" s="6">
        <v>1.2999999999999999E-2</v>
      </c>
      <c r="K11" s="6">
        <v>1.71</v>
      </c>
      <c r="L11" s="6">
        <v>661</v>
      </c>
      <c r="M11" s="6">
        <v>120</v>
      </c>
      <c r="N11" s="6">
        <v>5</v>
      </c>
      <c r="O11" s="6">
        <v>11</v>
      </c>
      <c r="P11" s="6">
        <v>300</v>
      </c>
      <c r="Q11" s="6">
        <v>-450</v>
      </c>
      <c r="R11" s="6">
        <v>1</v>
      </c>
      <c r="S11" s="6">
        <v>5.5</v>
      </c>
      <c r="T11" s="6">
        <v>0.2</v>
      </c>
      <c r="U11" s="6">
        <v>0.6</v>
      </c>
      <c r="V11" s="11">
        <v>11.7</v>
      </c>
      <c r="W11" s="6">
        <v>0</v>
      </c>
      <c r="X11" s="6">
        <v>0.03</v>
      </c>
      <c r="Y11" s="6">
        <v>5.0000000000000001E-4</v>
      </c>
      <c r="Z11" s="6">
        <v>0.03</v>
      </c>
      <c r="AA11" s="6">
        <v>5.0000000000000001E-4</v>
      </c>
      <c r="AB11" s="6">
        <v>200</v>
      </c>
      <c r="AC11" s="6">
        <v>200</v>
      </c>
      <c r="AD11" s="6">
        <v>200</v>
      </c>
      <c r="AE11" s="6">
        <v>200</v>
      </c>
      <c r="AF11" s="6">
        <v>10</v>
      </c>
      <c r="AG11" s="6">
        <v>0.9</v>
      </c>
      <c r="AH11" s="9">
        <v>811</v>
      </c>
      <c r="AI11" s="2">
        <v>100000</v>
      </c>
      <c r="AJ11" s="2">
        <v>1.2</v>
      </c>
      <c r="AK11" s="2">
        <v>4</v>
      </c>
      <c r="AL11" s="6" t="s">
        <v>15</v>
      </c>
      <c r="AM11" s="6" t="s">
        <v>82</v>
      </c>
      <c r="AN11" s="6" t="s">
        <v>286</v>
      </c>
      <c r="AO11" s="6"/>
    </row>
    <row r="12" spans="1:41">
      <c r="A12" s="6">
        <v>663</v>
      </c>
      <c r="B12" s="6">
        <v>0.18</v>
      </c>
      <c r="C12" s="6">
        <v>0.21</v>
      </c>
      <c r="D12" s="6">
        <v>0.93</v>
      </c>
      <c r="E12" s="6">
        <v>1.9</v>
      </c>
      <c r="F12" s="6">
        <v>1.9</v>
      </c>
      <c r="G12" s="6">
        <v>1.9</v>
      </c>
      <c r="H12" s="6">
        <v>1.9</v>
      </c>
      <c r="I12" s="6">
        <v>2</v>
      </c>
      <c r="J12" s="6">
        <v>1.2999999999999999E-2</v>
      </c>
      <c r="K12" s="6">
        <v>1.71</v>
      </c>
      <c r="L12" s="6">
        <v>661</v>
      </c>
      <c r="M12" s="6">
        <v>120</v>
      </c>
      <c r="N12" s="6">
        <v>5</v>
      </c>
      <c r="O12" s="6">
        <v>11</v>
      </c>
      <c r="P12" s="6">
        <v>300</v>
      </c>
      <c r="Q12" s="6">
        <v>-450</v>
      </c>
      <c r="R12" s="6">
        <v>1.6</v>
      </c>
      <c r="S12" s="6">
        <v>5.9</v>
      </c>
      <c r="T12" s="6">
        <v>-999</v>
      </c>
      <c r="U12" s="6">
        <v>-999</v>
      </c>
      <c r="V12" s="6">
        <v>33.1</v>
      </c>
      <c r="W12" s="6">
        <v>0</v>
      </c>
      <c r="X12" s="6">
        <v>0.03</v>
      </c>
      <c r="Y12" s="6">
        <v>5.0000000000000001E-4</v>
      </c>
      <c r="Z12" s="6">
        <v>0.03</v>
      </c>
      <c r="AA12" s="6">
        <v>5.0000000000000001E-4</v>
      </c>
      <c r="AB12" s="6">
        <v>200</v>
      </c>
      <c r="AC12" s="6">
        <v>200</v>
      </c>
      <c r="AD12" s="6">
        <v>200</v>
      </c>
      <c r="AE12" s="6">
        <v>200</v>
      </c>
      <c r="AF12" s="6">
        <v>10</v>
      </c>
      <c r="AG12" s="6">
        <v>0.9</v>
      </c>
      <c r="AH12" s="9">
        <v>812</v>
      </c>
      <c r="AI12" s="2">
        <v>100000</v>
      </c>
      <c r="AJ12" s="2">
        <v>1.2</v>
      </c>
      <c r="AK12" s="2">
        <v>4</v>
      </c>
      <c r="AL12" s="6" t="s">
        <v>15</v>
      </c>
      <c r="AM12" s="6" t="s">
        <v>70</v>
      </c>
      <c r="AN12" s="6" t="s">
        <v>286</v>
      </c>
      <c r="AO12" s="6"/>
    </row>
    <row r="13" spans="1:41">
      <c r="A13" s="9">
        <v>-9</v>
      </c>
    </row>
    <row r="14" spans="1:41">
      <c r="A14" s="9">
        <v>-9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A23"/>
  <sheetViews>
    <sheetView topLeftCell="C1" workbookViewId="0">
      <selection activeCell="I6" sqref="I6"/>
    </sheetView>
  </sheetViews>
  <sheetFormatPr defaultColWidth="9.09765625" defaultRowHeight="13.25"/>
  <cols>
    <col min="1" max="12" width="9.09765625" style="2"/>
    <col min="13" max="13" width="8" style="2" customWidth="1"/>
    <col min="14" max="22" width="9.09765625" style="2"/>
    <col min="23" max="23" width="3.59765625" style="2" customWidth="1"/>
    <col min="24" max="24" width="18.69921875" style="2" bestFit="1" customWidth="1"/>
    <col min="25" max="16384" width="9.09765625" style="2"/>
  </cols>
  <sheetData>
    <row r="1" spans="1:27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  <c r="L1" s="2">
        <v>12</v>
      </c>
      <c r="M1" s="2">
        <v>13</v>
      </c>
      <c r="N1" s="2">
        <v>14</v>
      </c>
      <c r="O1" s="2">
        <v>15</v>
      </c>
      <c r="P1" s="2">
        <v>16</v>
      </c>
      <c r="Q1" s="2">
        <v>17</v>
      </c>
      <c r="R1" s="2">
        <v>18</v>
      </c>
      <c r="S1" s="2">
        <v>19</v>
      </c>
      <c r="T1" s="2">
        <v>20</v>
      </c>
      <c r="U1" s="2">
        <v>21</v>
      </c>
      <c r="V1" s="2">
        <v>22</v>
      </c>
    </row>
    <row r="2" spans="1:27">
      <c r="A2" s="2" t="s">
        <v>1</v>
      </c>
      <c r="B2" s="2" t="s">
        <v>120</v>
      </c>
      <c r="C2" s="2" t="s">
        <v>121</v>
      </c>
      <c r="D2" s="2" t="s">
        <v>9</v>
      </c>
      <c r="E2" s="2" t="s">
        <v>103</v>
      </c>
      <c r="F2" s="2" t="s">
        <v>104</v>
      </c>
      <c r="G2" s="15" t="s">
        <v>296</v>
      </c>
      <c r="H2" s="2" t="s">
        <v>275</v>
      </c>
      <c r="I2" s="2" t="s">
        <v>498</v>
      </c>
      <c r="J2" s="2" t="s">
        <v>105</v>
      </c>
      <c r="K2" s="2" t="s">
        <v>106</v>
      </c>
      <c r="L2" s="2" t="s">
        <v>107</v>
      </c>
      <c r="M2" s="2" t="s">
        <v>146</v>
      </c>
      <c r="N2" s="2" t="s">
        <v>147</v>
      </c>
      <c r="O2" s="2" t="s">
        <v>148</v>
      </c>
      <c r="P2" s="2" t="s">
        <v>149</v>
      </c>
      <c r="Q2" s="9" t="s">
        <v>496</v>
      </c>
      <c r="R2" s="9" t="s">
        <v>497</v>
      </c>
      <c r="S2" s="2" t="s">
        <v>459</v>
      </c>
      <c r="T2" s="2" t="s">
        <v>439</v>
      </c>
      <c r="U2" s="2" t="s">
        <v>440</v>
      </c>
      <c r="V2" s="2" t="s">
        <v>441</v>
      </c>
    </row>
    <row r="3" spans="1:27">
      <c r="A3" s="2">
        <v>1000</v>
      </c>
      <c r="B3" s="2">
        <v>0.08</v>
      </c>
      <c r="C3" s="2">
        <v>0.08</v>
      </c>
      <c r="D3" s="2">
        <v>0.95</v>
      </c>
      <c r="E3" s="2">
        <v>0.5</v>
      </c>
      <c r="F3" s="2">
        <v>0.5</v>
      </c>
      <c r="G3" s="2">
        <v>0.5</v>
      </c>
      <c r="H3" s="2">
        <v>2000</v>
      </c>
      <c r="I3" s="2">
        <v>2000</v>
      </c>
      <c r="J3" s="2">
        <v>0</v>
      </c>
      <c r="K3" s="2">
        <v>0</v>
      </c>
      <c r="L3" s="2">
        <v>0</v>
      </c>
      <c r="M3" s="2">
        <v>60</v>
      </c>
      <c r="N3" s="2">
        <v>60</v>
      </c>
      <c r="O3" s="2">
        <v>60</v>
      </c>
      <c r="P3" s="2">
        <v>60</v>
      </c>
      <c r="Q3" s="9">
        <v>10</v>
      </c>
      <c r="R3" s="9">
        <v>0.9</v>
      </c>
      <c r="S3" s="2">
        <v>60</v>
      </c>
      <c r="T3" s="2">
        <v>100000</v>
      </c>
      <c r="U3" s="2">
        <v>1.2</v>
      </c>
      <c r="V3" s="2">
        <v>4</v>
      </c>
      <c r="W3" s="2" t="s">
        <v>15</v>
      </c>
      <c r="X3" s="2" t="s">
        <v>24</v>
      </c>
      <c r="Y3" s="2" t="s">
        <v>37</v>
      </c>
    </row>
    <row r="4" spans="1:27" s="3" customFormat="1">
      <c r="A4" s="3">
        <v>551</v>
      </c>
      <c r="B4" s="3">
        <v>0.1</v>
      </c>
      <c r="C4" s="3">
        <v>0.1</v>
      </c>
      <c r="D4" s="3">
        <v>0.95</v>
      </c>
      <c r="E4" s="3">
        <v>0.5</v>
      </c>
      <c r="F4" s="3">
        <v>0.5</v>
      </c>
      <c r="G4" s="3">
        <v>0.5</v>
      </c>
      <c r="H4" s="3">
        <v>1000</v>
      </c>
      <c r="I4" s="3">
        <v>1000</v>
      </c>
      <c r="J4" s="3">
        <v>-999</v>
      </c>
      <c r="K4" s="3">
        <v>-999</v>
      </c>
      <c r="L4" s="3">
        <v>-999</v>
      </c>
      <c r="M4" s="3">
        <v>60</v>
      </c>
      <c r="N4" s="3">
        <v>60</v>
      </c>
      <c r="O4" s="3">
        <v>60</v>
      </c>
      <c r="P4" s="3">
        <v>60</v>
      </c>
      <c r="Q4" s="9">
        <v>10</v>
      </c>
      <c r="R4" s="9">
        <v>0.9</v>
      </c>
      <c r="S4" s="3">
        <v>60</v>
      </c>
      <c r="T4" s="2">
        <v>100000</v>
      </c>
      <c r="U4" s="2">
        <v>1.2</v>
      </c>
      <c r="V4" s="2">
        <v>4</v>
      </c>
      <c r="W4" s="4" t="s">
        <v>15</v>
      </c>
      <c r="X4" s="4" t="s">
        <v>291</v>
      </c>
      <c r="Y4" s="4" t="s">
        <v>186</v>
      </c>
      <c r="AA4" s="4"/>
    </row>
    <row r="5" spans="1:27" s="5" customFormat="1">
      <c r="A5" s="5">
        <v>661</v>
      </c>
      <c r="B5" s="5">
        <v>0.1</v>
      </c>
      <c r="C5" s="5">
        <v>0.1</v>
      </c>
      <c r="D5" s="5">
        <v>0.95</v>
      </c>
      <c r="E5" s="5">
        <v>0.5</v>
      </c>
      <c r="F5" s="5">
        <v>0.5</v>
      </c>
      <c r="G5" s="5">
        <v>0.5</v>
      </c>
      <c r="H5" s="5">
        <v>30000</v>
      </c>
      <c r="I5" s="5">
        <v>20000</v>
      </c>
      <c r="J5" s="5">
        <v>0</v>
      </c>
      <c r="K5" s="5">
        <v>0</v>
      </c>
      <c r="L5" s="5">
        <v>0</v>
      </c>
      <c r="M5" s="5">
        <v>60</v>
      </c>
      <c r="N5" s="5">
        <v>60</v>
      </c>
      <c r="O5" s="5">
        <v>60</v>
      </c>
      <c r="P5" s="5">
        <v>60</v>
      </c>
      <c r="Q5" s="9">
        <v>10</v>
      </c>
      <c r="R5" s="9">
        <v>0.9</v>
      </c>
      <c r="S5" s="5">
        <v>813</v>
      </c>
      <c r="T5" s="2">
        <v>100000</v>
      </c>
      <c r="U5" s="2">
        <v>1.2</v>
      </c>
      <c r="V5" s="2">
        <v>4</v>
      </c>
      <c r="W5" s="6" t="s">
        <v>15</v>
      </c>
      <c r="X5" s="6" t="s">
        <v>286</v>
      </c>
      <c r="Y5" s="6"/>
      <c r="Z5" s="6"/>
      <c r="AA5" s="6"/>
    </row>
    <row r="6" spans="1:27">
      <c r="A6" s="2">
        <v>-9</v>
      </c>
    </row>
    <row r="7" spans="1:27">
      <c r="A7" s="2">
        <v>-9</v>
      </c>
    </row>
    <row r="8" spans="1:27">
      <c r="E8" s="13"/>
    </row>
    <row r="9" spans="1:27">
      <c r="A9" s="1"/>
      <c r="B9" s="1"/>
      <c r="C9" s="1"/>
      <c r="D9" s="1"/>
      <c r="E9" s="1"/>
      <c r="F9" s="1"/>
      <c r="G9" s="1"/>
      <c r="H9" s="1"/>
      <c r="I9" s="75"/>
      <c r="J9" s="1"/>
      <c r="K9" s="1"/>
    </row>
    <row r="13" spans="1:27">
      <c r="F13" s="7"/>
      <c r="G13" s="7"/>
      <c r="H13" s="7"/>
      <c r="I13" s="7"/>
    </row>
    <row r="14" spans="1:27">
      <c r="B14" s="1"/>
    </row>
    <row r="15" spans="1:27">
      <c r="C15" s="1"/>
    </row>
    <row r="17" spans="2:13">
      <c r="M17" s="1"/>
    </row>
    <row r="18" spans="2:13">
      <c r="M18" s="1"/>
    </row>
    <row r="19" spans="2:13">
      <c r="B19" s="1"/>
      <c r="M19" s="1"/>
    </row>
    <row r="20" spans="2:13">
      <c r="C20" s="1"/>
    </row>
    <row r="22" spans="2:13">
      <c r="E22" s="8"/>
      <c r="F22" s="8"/>
      <c r="G22" s="8"/>
      <c r="H22" s="8"/>
      <c r="I22" s="8"/>
      <c r="J22" s="8"/>
      <c r="K22" s="8"/>
      <c r="L22" s="8"/>
      <c r="M22" s="8"/>
    </row>
    <row r="23" spans="2:13">
      <c r="E23" s="8"/>
      <c r="F23" s="8"/>
      <c r="G23" s="8"/>
      <c r="H23" s="8"/>
      <c r="I23" s="8"/>
      <c r="J23" s="8"/>
      <c r="K23" s="8"/>
      <c r="L23" s="8"/>
      <c r="M23" s="8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B30"/>
  <sheetViews>
    <sheetView topLeftCell="H1" workbookViewId="0">
      <selection activeCell="Q19" sqref="Q19"/>
    </sheetView>
  </sheetViews>
  <sheetFormatPr defaultColWidth="9.09765625" defaultRowHeight="13.25"/>
  <cols>
    <col min="1" max="12" width="9.09765625" style="2" customWidth="1"/>
    <col min="13" max="13" width="9.09765625" style="2"/>
    <col min="14" max="16" width="9.09765625" style="2" customWidth="1"/>
    <col min="17" max="25" width="9.09765625" style="2"/>
    <col min="26" max="28" width="9.09765625" style="2" customWidth="1"/>
    <col min="29" max="16384" width="9.09765625" style="2"/>
  </cols>
  <sheetData>
    <row r="1" spans="1:28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  <c r="L1" s="2">
        <v>12</v>
      </c>
      <c r="M1" s="2">
        <v>13</v>
      </c>
      <c r="N1" s="2">
        <v>14</v>
      </c>
      <c r="O1" s="2">
        <v>15</v>
      </c>
      <c r="P1" s="2">
        <v>16</v>
      </c>
      <c r="Q1" s="2">
        <v>17</v>
      </c>
      <c r="R1" s="2">
        <v>18</v>
      </c>
      <c r="S1" s="2">
        <v>19</v>
      </c>
      <c r="T1" s="2">
        <v>20</v>
      </c>
      <c r="U1" s="2">
        <v>21</v>
      </c>
      <c r="V1" s="2">
        <v>22</v>
      </c>
      <c r="W1" s="2">
        <v>23</v>
      </c>
      <c r="X1" s="2">
        <v>24</v>
      </c>
      <c r="Y1" s="2">
        <v>25</v>
      </c>
    </row>
    <row r="2" spans="1:28">
      <c r="A2" s="2" t="s">
        <v>1</v>
      </c>
      <c r="B2" s="2" t="s">
        <v>118</v>
      </c>
      <c r="C2" s="2" t="s">
        <v>119</v>
      </c>
      <c r="D2" s="2" t="s">
        <v>120</v>
      </c>
      <c r="E2" s="2" t="s">
        <v>121</v>
      </c>
      <c r="F2" s="2" t="s">
        <v>9</v>
      </c>
      <c r="G2" s="2" t="s">
        <v>127</v>
      </c>
      <c r="H2" s="2" t="s">
        <v>126</v>
      </c>
      <c r="I2" s="2" t="s">
        <v>122</v>
      </c>
      <c r="J2" s="2" t="s">
        <v>123</v>
      </c>
      <c r="K2" s="2" t="s">
        <v>124</v>
      </c>
      <c r="L2" s="2" t="s">
        <v>125</v>
      </c>
      <c r="M2" s="2" t="s">
        <v>128</v>
      </c>
      <c r="N2" s="2" t="s">
        <v>129</v>
      </c>
      <c r="O2" s="2" t="s">
        <v>136</v>
      </c>
      <c r="P2" s="2" t="s">
        <v>146</v>
      </c>
      <c r="Q2" s="2" t="s">
        <v>147</v>
      </c>
      <c r="R2" s="2" t="s">
        <v>148</v>
      </c>
      <c r="S2" s="2" t="s">
        <v>149</v>
      </c>
      <c r="T2" s="9" t="s">
        <v>496</v>
      </c>
      <c r="U2" s="9" t="s">
        <v>497</v>
      </c>
      <c r="V2" s="2" t="s">
        <v>459</v>
      </c>
      <c r="W2" s="2" t="s">
        <v>439</v>
      </c>
      <c r="X2" s="2" t="s">
        <v>440</v>
      </c>
      <c r="Y2" s="2" t="s">
        <v>441</v>
      </c>
    </row>
    <row r="3" spans="1:28">
      <c r="A3" s="2">
        <v>99999</v>
      </c>
      <c r="B3" s="2">
        <v>-999</v>
      </c>
      <c r="C3" s="2">
        <v>-999</v>
      </c>
      <c r="D3" s="2">
        <v>-999</v>
      </c>
      <c r="E3" s="2">
        <v>-999</v>
      </c>
      <c r="F3" s="2">
        <v>-999</v>
      </c>
      <c r="G3" s="2">
        <v>-999</v>
      </c>
      <c r="H3" s="2">
        <v>-999</v>
      </c>
      <c r="I3" s="2">
        <v>-999</v>
      </c>
      <c r="J3" s="2">
        <v>-999</v>
      </c>
      <c r="K3" s="2">
        <v>-999</v>
      </c>
      <c r="L3" s="2">
        <v>-999</v>
      </c>
      <c r="M3" s="2">
        <v>-999</v>
      </c>
      <c r="N3" s="2">
        <v>-999</v>
      </c>
      <c r="O3" s="2">
        <v>-999</v>
      </c>
      <c r="P3" s="2">
        <v>61</v>
      </c>
      <c r="Q3" s="2">
        <v>61</v>
      </c>
      <c r="R3" s="2">
        <v>61</v>
      </c>
      <c r="S3" s="2">
        <v>61</v>
      </c>
      <c r="T3" s="9">
        <v>10</v>
      </c>
      <c r="U3" s="9">
        <v>0.9</v>
      </c>
      <c r="V3" s="2">
        <v>99999</v>
      </c>
      <c r="W3" s="2">
        <v>100000</v>
      </c>
      <c r="X3" s="2">
        <v>1.2</v>
      </c>
      <c r="Y3" s="2">
        <v>4</v>
      </c>
      <c r="Z3" s="2" t="s">
        <v>15</v>
      </c>
    </row>
    <row r="4" spans="1:28">
      <c r="A4" s="2">
        <v>1</v>
      </c>
      <c r="B4" s="2">
        <v>1.6000000000000001E-3</v>
      </c>
      <c r="C4" s="2">
        <v>0.12</v>
      </c>
      <c r="D4" s="2">
        <v>0.18</v>
      </c>
      <c r="E4" s="2">
        <v>0.85</v>
      </c>
      <c r="F4" s="2">
        <v>0.99</v>
      </c>
      <c r="G4" s="2">
        <v>1.7999999999999999E-2</v>
      </c>
      <c r="H4" s="2">
        <v>0.11</v>
      </c>
      <c r="I4" s="2">
        <v>2</v>
      </c>
      <c r="J4" s="2">
        <v>100</v>
      </c>
      <c r="K4" s="2">
        <v>400</v>
      </c>
      <c r="L4" s="2">
        <v>4.2999999999999997E-2</v>
      </c>
      <c r="M4" s="2">
        <v>0.05</v>
      </c>
      <c r="N4" s="2">
        <v>0.2</v>
      </c>
      <c r="O4" s="2">
        <v>2.2000000000000002</v>
      </c>
      <c r="P4" s="2">
        <v>61</v>
      </c>
      <c r="Q4" s="2">
        <v>61</v>
      </c>
      <c r="R4" s="2">
        <v>61</v>
      </c>
      <c r="S4" s="2">
        <v>61</v>
      </c>
      <c r="T4" s="9">
        <v>10</v>
      </c>
      <c r="U4" s="9">
        <v>0.9</v>
      </c>
      <c r="V4" s="2">
        <v>61</v>
      </c>
      <c r="W4" s="2">
        <v>100000</v>
      </c>
      <c r="X4" s="2">
        <v>1.2</v>
      </c>
      <c r="Y4" s="2">
        <v>4</v>
      </c>
      <c r="Z4" s="2" t="s">
        <v>15</v>
      </c>
      <c r="AA4" s="2" t="s">
        <v>88</v>
      </c>
      <c r="AB4" s="2" t="s">
        <v>37</v>
      </c>
    </row>
    <row r="5" spans="1:28" s="3" customFormat="1">
      <c r="A5" s="3">
        <v>550</v>
      </c>
      <c r="B5" s="3">
        <v>1E-3</v>
      </c>
      <c r="C5" s="3">
        <v>0.14000000000000001</v>
      </c>
      <c r="D5" s="3">
        <v>0.18</v>
      </c>
      <c r="E5" s="3">
        <v>0.8</v>
      </c>
      <c r="F5" s="3">
        <v>0.99</v>
      </c>
      <c r="G5" s="3">
        <v>0.01</v>
      </c>
      <c r="H5" s="3">
        <v>0.1</v>
      </c>
      <c r="I5" s="3">
        <v>2</v>
      </c>
      <c r="J5" s="3">
        <v>100</v>
      </c>
      <c r="K5" s="3">
        <v>450</v>
      </c>
      <c r="L5" s="3">
        <v>0.02</v>
      </c>
      <c r="M5" s="3">
        <v>0.03</v>
      </c>
      <c r="N5" s="3">
        <v>0.1</v>
      </c>
      <c r="O5" s="3">
        <v>2.2000000000000002</v>
      </c>
      <c r="P5" s="3">
        <v>61</v>
      </c>
      <c r="Q5" s="3">
        <v>61</v>
      </c>
      <c r="R5" s="3">
        <v>61</v>
      </c>
      <c r="S5" s="3">
        <v>61</v>
      </c>
      <c r="T5" s="9">
        <v>10</v>
      </c>
      <c r="U5" s="9">
        <v>0.9</v>
      </c>
      <c r="V5" s="3">
        <v>61</v>
      </c>
      <c r="W5" s="2">
        <v>100000</v>
      </c>
      <c r="X5" s="2">
        <v>1.2</v>
      </c>
      <c r="Y5" s="2">
        <v>4</v>
      </c>
      <c r="Z5" s="3" t="s">
        <v>15</v>
      </c>
      <c r="AA5" s="3" t="s">
        <v>185</v>
      </c>
      <c r="AB5" s="3" t="s">
        <v>186</v>
      </c>
    </row>
    <row r="6" spans="1:28" s="5" customFormat="1">
      <c r="A6" s="5">
        <v>660</v>
      </c>
      <c r="B6" s="5">
        <v>1E-3</v>
      </c>
      <c r="C6" s="5">
        <v>0.14000000000000001</v>
      </c>
      <c r="D6" s="5">
        <v>0.18</v>
      </c>
      <c r="E6" s="5">
        <v>0.8</v>
      </c>
      <c r="F6" s="5">
        <v>0.99</v>
      </c>
      <c r="G6" s="5">
        <v>0.01</v>
      </c>
      <c r="H6" s="5">
        <v>0.1</v>
      </c>
      <c r="I6" s="5">
        <v>2</v>
      </c>
      <c r="J6" s="5">
        <v>100</v>
      </c>
      <c r="K6" s="5">
        <v>450</v>
      </c>
      <c r="L6" s="5">
        <v>0.02</v>
      </c>
      <c r="M6" s="5">
        <v>0.03</v>
      </c>
      <c r="N6" s="5">
        <v>0.1</v>
      </c>
      <c r="O6" s="5">
        <v>2.2000000000000002</v>
      </c>
      <c r="P6" s="5">
        <v>61</v>
      </c>
      <c r="Q6" s="5">
        <v>61</v>
      </c>
      <c r="R6" s="5">
        <v>61</v>
      </c>
      <c r="S6" s="5">
        <v>61</v>
      </c>
      <c r="T6" s="9">
        <v>10</v>
      </c>
      <c r="U6" s="9">
        <v>0.9</v>
      </c>
      <c r="V6" s="5">
        <v>61</v>
      </c>
      <c r="W6" s="2">
        <v>100000</v>
      </c>
      <c r="X6" s="2">
        <v>1.2</v>
      </c>
      <c r="Y6" s="2">
        <v>4</v>
      </c>
      <c r="Z6" s="5" t="s">
        <v>15</v>
      </c>
      <c r="AA6" s="5" t="s">
        <v>286</v>
      </c>
    </row>
    <row r="7" spans="1:28">
      <c r="A7" s="2">
        <v>-9</v>
      </c>
      <c r="T7" s="9"/>
      <c r="U7" s="9"/>
    </row>
    <row r="8" spans="1:28">
      <c r="A8" s="2">
        <v>-9</v>
      </c>
    </row>
    <row r="10" spans="1:28">
      <c r="A10" s="9"/>
      <c r="B10" s="9"/>
      <c r="C10" s="9"/>
      <c r="D10" s="12"/>
      <c r="E10" s="9"/>
      <c r="F10" s="9"/>
      <c r="G10" s="9"/>
      <c r="H10" s="9"/>
    </row>
    <row r="11" spans="1:28">
      <c r="A11" s="9"/>
      <c r="B11" s="9"/>
      <c r="C11" s="9"/>
      <c r="D11" s="9"/>
      <c r="E11" s="9"/>
      <c r="F11" s="9"/>
      <c r="G11" s="9"/>
      <c r="H11" s="9"/>
    </row>
    <row r="12" spans="1:28">
      <c r="A12" s="9"/>
      <c r="B12" s="9"/>
      <c r="D12" s="9"/>
      <c r="E12" s="9"/>
      <c r="F12" s="9"/>
      <c r="G12" s="9"/>
      <c r="H12" s="9"/>
    </row>
    <row r="13" spans="1:28">
      <c r="A13" s="9"/>
      <c r="B13" s="9"/>
      <c r="D13" s="9"/>
      <c r="E13" s="9"/>
      <c r="F13" s="9"/>
      <c r="G13" s="9"/>
      <c r="H13" s="9"/>
    </row>
    <row r="14" spans="1:28">
      <c r="A14" s="9"/>
      <c r="B14" s="9"/>
      <c r="D14" s="9"/>
    </row>
    <row r="15" spans="1:28">
      <c r="A15" s="9"/>
      <c r="B15" s="9"/>
      <c r="D15" s="9"/>
    </row>
    <row r="16" spans="1:28">
      <c r="A16" s="9"/>
      <c r="B16" s="9"/>
      <c r="D16" s="9"/>
    </row>
    <row r="17" spans="1:8">
      <c r="A17" s="9"/>
      <c r="B17" s="9"/>
      <c r="D17" s="9"/>
    </row>
    <row r="18" spans="1:8">
      <c r="A18" s="9"/>
      <c r="B18" s="9"/>
      <c r="D18" s="9"/>
    </row>
    <row r="19" spans="1:8">
      <c r="A19" s="9"/>
      <c r="B19" s="9"/>
      <c r="D19" s="9"/>
    </row>
    <row r="20" spans="1:8">
      <c r="A20" s="9"/>
      <c r="B20" s="9"/>
      <c r="D20" s="9"/>
    </row>
    <row r="21" spans="1:8">
      <c r="A21" s="9"/>
      <c r="B21" s="9"/>
      <c r="D21" s="9"/>
    </row>
    <row r="22" spans="1:8">
      <c r="A22" s="9"/>
      <c r="B22" s="9"/>
      <c r="D22" s="9"/>
    </row>
    <row r="23" spans="1:8">
      <c r="B23" s="9"/>
      <c r="D23" s="9"/>
    </row>
    <row r="24" spans="1:8">
      <c r="B24" s="9"/>
      <c r="D24" s="9"/>
    </row>
    <row r="25" spans="1:8">
      <c r="B25" s="9"/>
      <c r="D25" s="9"/>
    </row>
    <row r="26" spans="1:8">
      <c r="B26" s="9"/>
      <c r="D26" s="9"/>
    </row>
    <row r="27" spans="1:8">
      <c r="B27" s="9"/>
    </row>
    <row r="28" spans="1:8">
      <c r="B28" s="9"/>
    </row>
    <row r="29" spans="1:8">
      <c r="B29" s="9"/>
      <c r="D29" s="8"/>
      <c r="E29" s="8"/>
      <c r="F29" s="8"/>
      <c r="G29" s="8"/>
      <c r="H29" s="8"/>
    </row>
    <row r="30" spans="1:8">
      <c r="B30" s="9"/>
      <c r="D30" s="8"/>
      <c r="E30" s="8"/>
      <c r="F30" s="8"/>
      <c r="G30" s="8"/>
      <c r="H30" s="8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2"/>
  <sheetViews>
    <sheetView workbookViewId="0">
      <selection activeCell="I5" sqref="I5"/>
    </sheetView>
  </sheetViews>
  <sheetFormatPr defaultColWidth="19.09765625" defaultRowHeight="13.25"/>
  <cols>
    <col min="1" max="1" width="9.09765625" style="1" customWidth="1"/>
    <col min="2" max="9" width="19.09765625" style="1"/>
    <col min="10" max="10" width="3" style="1" customWidth="1"/>
    <col min="11" max="11" width="22.3984375" style="1" bestFit="1" customWidth="1"/>
    <col min="12" max="16384" width="19.09765625" style="1"/>
  </cols>
  <sheetData>
    <row r="1" spans="1:12" s="14" customFormat="1">
      <c r="A1" s="14">
        <v>1</v>
      </c>
      <c r="B1" s="14">
        <v>2</v>
      </c>
      <c r="C1" s="14">
        <v>3</v>
      </c>
      <c r="D1" s="14">
        <v>4</v>
      </c>
      <c r="E1" s="14">
        <v>5</v>
      </c>
      <c r="F1" s="14">
        <v>6</v>
      </c>
      <c r="G1" s="14">
        <v>7</v>
      </c>
      <c r="H1" s="14">
        <v>8</v>
      </c>
      <c r="I1" s="14">
        <v>9</v>
      </c>
    </row>
    <row r="2" spans="1:12" s="14" customFormat="1">
      <c r="A2" s="14" t="s">
        <v>1</v>
      </c>
      <c r="B2" s="14" t="s">
        <v>273</v>
      </c>
      <c r="C2" s="15" t="s">
        <v>108</v>
      </c>
      <c r="D2" s="14" t="s">
        <v>141</v>
      </c>
      <c r="E2" s="14" t="s">
        <v>26</v>
      </c>
      <c r="F2" s="14" t="s">
        <v>142</v>
      </c>
      <c r="G2" s="14" t="s">
        <v>138</v>
      </c>
      <c r="H2" s="14" t="s">
        <v>139</v>
      </c>
      <c r="I2" s="14" t="s">
        <v>137</v>
      </c>
    </row>
    <row r="3" spans="1:12" s="17" customFormat="1">
      <c r="A3" s="17">
        <v>551</v>
      </c>
      <c r="B3" s="17">
        <v>350</v>
      </c>
      <c r="C3" s="3">
        <v>150</v>
      </c>
      <c r="D3" s="18">
        <v>5.0000000000000001E-4</v>
      </c>
      <c r="E3" s="17">
        <v>-999</v>
      </c>
      <c r="F3" s="17">
        <v>-999</v>
      </c>
      <c r="G3" s="17">
        <v>-999</v>
      </c>
      <c r="H3" s="17">
        <v>-999</v>
      </c>
      <c r="I3" s="17">
        <v>-999</v>
      </c>
      <c r="J3" s="17" t="s">
        <v>15</v>
      </c>
      <c r="K3" s="17" t="s">
        <v>293</v>
      </c>
      <c r="L3" s="17" t="s">
        <v>186</v>
      </c>
    </row>
    <row r="4" spans="1:12" s="17" customFormat="1">
      <c r="A4" s="17">
        <v>552</v>
      </c>
      <c r="B4" s="17">
        <v>350</v>
      </c>
      <c r="C4" s="3">
        <v>150</v>
      </c>
      <c r="D4" s="18">
        <v>5.0000000000000001E-4</v>
      </c>
      <c r="E4" s="17">
        <v>-999</v>
      </c>
      <c r="F4" s="17">
        <v>-999</v>
      </c>
      <c r="G4" s="17">
        <v>-999</v>
      </c>
      <c r="H4" s="17">
        <v>-999</v>
      </c>
      <c r="I4" s="17">
        <v>-999</v>
      </c>
      <c r="J4" s="17" t="s">
        <v>15</v>
      </c>
      <c r="K4" s="17" t="s">
        <v>294</v>
      </c>
      <c r="L4" s="17" t="s">
        <v>186</v>
      </c>
    </row>
    <row r="5" spans="1:12" s="17" customFormat="1">
      <c r="A5" s="17">
        <v>553</v>
      </c>
      <c r="B5" s="17">
        <v>350</v>
      </c>
      <c r="C5" s="3">
        <v>150</v>
      </c>
      <c r="D5" s="18">
        <v>5.0000000000000001E-4</v>
      </c>
      <c r="E5" s="17">
        <v>-999</v>
      </c>
      <c r="F5" s="17">
        <v>-999</v>
      </c>
      <c r="G5" s="17">
        <v>-999</v>
      </c>
      <c r="H5" s="17">
        <v>-999</v>
      </c>
      <c r="I5" s="17">
        <v>-999</v>
      </c>
      <c r="J5" s="17" t="s">
        <v>15</v>
      </c>
      <c r="K5" s="17" t="s">
        <v>295</v>
      </c>
      <c r="L5" s="17" t="s">
        <v>186</v>
      </c>
    </row>
    <row r="6" spans="1:12" s="19" customFormat="1">
      <c r="A6" s="19">
        <v>661</v>
      </c>
      <c r="B6" s="19">
        <v>350</v>
      </c>
      <c r="C6" s="5">
        <v>150</v>
      </c>
      <c r="D6" s="20">
        <v>5.0000000000000001E-4</v>
      </c>
      <c r="E6" s="19">
        <v>-999</v>
      </c>
      <c r="F6" s="19">
        <v>-999</v>
      </c>
      <c r="G6" s="19">
        <v>-999</v>
      </c>
      <c r="H6" s="19">
        <v>-999</v>
      </c>
      <c r="I6" s="19">
        <v>-999</v>
      </c>
      <c r="J6" s="19" t="s">
        <v>15</v>
      </c>
      <c r="K6" s="19" t="s">
        <v>286</v>
      </c>
    </row>
    <row r="7" spans="1:12">
      <c r="A7" s="1">
        <v>-9</v>
      </c>
      <c r="H7" s="16"/>
    </row>
    <row r="8" spans="1:12">
      <c r="A8" s="1">
        <v>-9</v>
      </c>
    </row>
    <row r="9" spans="1:12">
      <c r="B9" s="23"/>
      <c r="C9" s="23"/>
    </row>
    <row r="10" spans="1:12">
      <c r="B10" s="21"/>
      <c r="C10" s="21"/>
    </row>
    <row r="11" spans="1:12">
      <c r="B11" s="22"/>
      <c r="C11" s="22"/>
    </row>
    <row r="12" spans="1:12">
      <c r="B12" s="22"/>
      <c r="C12" s="22"/>
    </row>
    <row r="13" spans="1:12">
      <c r="B13" s="22"/>
      <c r="C13" s="22"/>
    </row>
    <row r="14" spans="1:12">
      <c r="B14" s="22"/>
      <c r="C14" s="22"/>
    </row>
    <row r="15" spans="1:12">
      <c r="B15" s="22"/>
      <c r="C15" s="22"/>
    </row>
    <row r="16" spans="1:12">
      <c r="B16" s="23"/>
      <c r="C16" s="23"/>
    </row>
    <row r="17" spans="2:3">
      <c r="B17" s="21"/>
      <c r="C17" s="21"/>
    </row>
    <row r="18" spans="2:3" ht="15">
      <c r="B18" s="24"/>
      <c r="C18" s="24"/>
    </row>
    <row r="19" spans="2:3" ht="15">
      <c r="B19" s="24"/>
      <c r="C19" s="24"/>
    </row>
    <row r="20" spans="2:3" ht="15">
      <c r="B20" s="24"/>
      <c r="C20" s="24"/>
    </row>
    <row r="21" spans="2:3" ht="15">
      <c r="B21" s="24"/>
      <c r="C21" s="24"/>
    </row>
    <row r="22" spans="2:3">
      <c r="B22" s="25"/>
      <c r="C22" s="25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6"/>
  <sheetViews>
    <sheetView workbookViewId="0">
      <selection activeCell="P4" sqref="P4"/>
    </sheetView>
  </sheetViews>
  <sheetFormatPr defaultColWidth="9.09765625" defaultRowHeight="13.25"/>
  <cols>
    <col min="1" max="13" width="9.09765625" style="2"/>
    <col min="14" max="14" width="7" style="2" customWidth="1"/>
    <col min="15" max="16384" width="9.09765625" style="2"/>
  </cols>
  <sheetData>
    <row r="1" spans="1:16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  <c r="L1" s="2">
        <v>12</v>
      </c>
      <c r="M1" s="2">
        <v>13</v>
      </c>
    </row>
    <row r="2" spans="1:16">
      <c r="A2" s="2" t="s">
        <v>1</v>
      </c>
      <c r="B2" s="2" t="s">
        <v>28</v>
      </c>
      <c r="C2" s="2" t="s">
        <v>29</v>
      </c>
      <c r="D2" s="2" t="s">
        <v>30</v>
      </c>
      <c r="E2" s="2" t="s">
        <v>31</v>
      </c>
      <c r="F2" s="2" t="s">
        <v>32</v>
      </c>
      <c r="G2" s="2" t="s">
        <v>33</v>
      </c>
      <c r="H2" s="2" t="s">
        <v>143</v>
      </c>
      <c r="I2" s="2" t="s">
        <v>144</v>
      </c>
      <c r="J2" s="2" t="s">
        <v>13</v>
      </c>
      <c r="K2" s="2" t="s">
        <v>14</v>
      </c>
      <c r="L2" s="2" t="s">
        <v>145</v>
      </c>
      <c r="M2" s="2" t="s">
        <v>483</v>
      </c>
    </row>
    <row r="3" spans="1:16" s="5" customFormat="1">
      <c r="A3" s="5">
        <v>100</v>
      </c>
      <c r="B3" s="5">
        <v>16.476400000000002</v>
      </c>
      <c r="C3" s="5">
        <v>566.09230000000002</v>
      </c>
      <c r="D3" s="5">
        <v>0.21629999999999999</v>
      </c>
      <c r="E3" s="5">
        <v>3.3649</v>
      </c>
      <c r="F3" s="5">
        <v>11.0764</v>
      </c>
      <c r="G3" s="5">
        <v>1.7600000000000001E-2</v>
      </c>
      <c r="H3" s="5">
        <v>40</v>
      </c>
      <c r="I3" s="5">
        <v>0</v>
      </c>
      <c r="J3" s="5">
        <v>0.45</v>
      </c>
      <c r="K3" s="5">
        <v>15</v>
      </c>
      <c r="L3" s="5">
        <v>1200</v>
      </c>
      <c r="M3" s="5">
        <v>1</v>
      </c>
      <c r="N3" s="5" t="s">
        <v>15</v>
      </c>
      <c r="O3" s="5" t="s">
        <v>288</v>
      </c>
      <c r="P3" s="5" t="s">
        <v>484</v>
      </c>
    </row>
    <row r="4" spans="1:16" s="15" customFormat="1">
      <c r="A4" s="15">
        <v>200</v>
      </c>
      <c r="B4" s="15">
        <v>3.5</v>
      </c>
      <c r="C4" s="15">
        <v>200</v>
      </c>
      <c r="D4" s="15">
        <v>0.13</v>
      </c>
      <c r="E4" s="15">
        <v>0.7</v>
      </c>
      <c r="F4" s="15">
        <v>30</v>
      </c>
      <c r="G4" s="15">
        <v>0.05</v>
      </c>
      <c r="H4" s="15">
        <v>55</v>
      </c>
      <c r="I4" s="15">
        <v>-10</v>
      </c>
      <c r="J4" s="15">
        <v>5.56</v>
      </c>
      <c r="K4" s="15">
        <v>0</v>
      </c>
      <c r="L4" s="15">
        <v>1200</v>
      </c>
      <c r="M4" s="76">
        <v>2</v>
      </c>
      <c r="N4" s="15" t="s">
        <v>15</v>
      </c>
      <c r="O4" s="15" t="s">
        <v>485</v>
      </c>
      <c r="P4" s="15" t="s">
        <v>486</v>
      </c>
    </row>
    <row r="5" spans="1:16">
      <c r="A5" s="2">
        <v>-9</v>
      </c>
    </row>
    <row r="6" spans="1:16">
      <c r="A6" s="2">
        <v>-9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N17"/>
  <sheetViews>
    <sheetView workbookViewId="0">
      <selection activeCell="A10" sqref="A10:XFD25"/>
    </sheetView>
  </sheetViews>
  <sheetFormatPr defaultColWidth="13.09765625" defaultRowHeight="13.25"/>
  <cols>
    <col min="1" max="1" width="9.09765625" style="26" customWidth="1"/>
    <col min="2" max="11" width="13.09765625" style="26"/>
    <col min="12" max="12" width="2.296875" style="26" customWidth="1"/>
    <col min="13" max="16384" width="13.09765625" style="26"/>
  </cols>
  <sheetData>
    <row r="1" spans="1:14">
      <c r="A1" s="26">
        <v>1</v>
      </c>
      <c r="B1" s="26">
        <v>2</v>
      </c>
      <c r="C1" s="26">
        <v>3</v>
      </c>
      <c r="D1" s="26">
        <v>4</v>
      </c>
      <c r="E1" s="26">
        <v>5</v>
      </c>
      <c r="F1" s="26">
        <v>6</v>
      </c>
      <c r="G1" s="26">
        <v>7</v>
      </c>
      <c r="H1" s="26">
        <v>8</v>
      </c>
      <c r="I1" s="26">
        <v>9</v>
      </c>
      <c r="J1" s="26">
        <v>10</v>
      </c>
      <c r="K1" s="26">
        <v>11</v>
      </c>
    </row>
    <row r="2" spans="1:14">
      <c r="A2" s="26" t="s">
        <v>1</v>
      </c>
      <c r="B2" s="26" t="s">
        <v>40</v>
      </c>
      <c r="C2" s="26" t="s">
        <v>153</v>
      </c>
      <c r="D2" s="26" t="s">
        <v>154</v>
      </c>
      <c r="E2" s="26" t="s">
        <v>155</v>
      </c>
      <c r="F2" s="26" t="s">
        <v>156</v>
      </c>
      <c r="G2" s="26" t="s">
        <v>157</v>
      </c>
      <c r="H2" s="26" t="s">
        <v>158</v>
      </c>
      <c r="I2" s="26" t="s">
        <v>150</v>
      </c>
      <c r="J2" s="26" t="s">
        <v>151</v>
      </c>
      <c r="K2" s="26" t="s">
        <v>152</v>
      </c>
    </row>
    <row r="3" spans="1:14">
      <c r="A3" s="26">
        <v>10</v>
      </c>
      <c r="B3" s="26">
        <v>18.2</v>
      </c>
      <c r="C3" s="26">
        <v>0.1</v>
      </c>
      <c r="D3" s="26">
        <v>9.8600000000000007E-3</v>
      </c>
      <c r="E3" s="26">
        <v>1.0200000000000001E-2</v>
      </c>
      <c r="F3" s="26">
        <v>0.1</v>
      </c>
      <c r="G3" s="26">
        <v>9.8600000000000007E-3</v>
      </c>
      <c r="H3" s="26">
        <v>1.0200000000000001E-2</v>
      </c>
      <c r="I3" s="26">
        <v>15</v>
      </c>
      <c r="J3" s="26">
        <v>2.7</v>
      </c>
      <c r="K3" s="26">
        <v>7</v>
      </c>
      <c r="L3" s="26" t="s">
        <v>15</v>
      </c>
      <c r="M3" s="26" t="s">
        <v>24</v>
      </c>
      <c r="N3" s="26" t="s">
        <v>76</v>
      </c>
    </row>
    <row r="4" spans="1:14">
      <c r="A4" s="26">
        <v>11</v>
      </c>
      <c r="B4" s="26">
        <v>18.2</v>
      </c>
      <c r="C4" s="26">
        <v>0.30809999999999998</v>
      </c>
      <c r="D4" s="27">
        <v>9.9000000000000008E-3</v>
      </c>
      <c r="E4" s="28">
        <v>1.0200000000000001E-2</v>
      </c>
      <c r="F4" s="27">
        <v>0.30809999999999998</v>
      </c>
      <c r="G4" s="27">
        <v>9.9000000000000008E-3</v>
      </c>
      <c r="H4" s="28">
        <v>1.0200000000000001E-2</v>
      </c>
      <c r="I4" s="27">
        <v>-999</v>
      </c>
      <c r="J4" s="27">
        <v>-999</v>
      </c>
      <c r="K4" s="27">
        <v>-999</v>
      </c>
      <c r="L4" s="26" t="s">
        <v>15</v>
      </c>
      <c r="M4" s="26" t="s">
        <v>77</v>
      </c>
    </row>
    <row r="5" spans="1:14" s="29" customFormat="1">
      <c r="A5" s="29">
        <v>551</v>
      </c>
      <c r="B5" s="29">
        <v>18.2</v>
      </c>
      <c r="C5" s="30">
        <v>0.14458070000000001</v>
      </c>
      <c r="D5" s="31">
        <v>0</v>
      </c>
      <c r="E5" s="32">
        <v>3.7491E-3</v>
      </c>
      <c r="F5" s="31">
        <v>0.13291500000000001</v>
      </c>
      <c r="G5" s="31">
        <v>0</v>
      </c>
      <c r="H5" s="32">
        <v>3.7537E-3</v>
      </c>
      <c r="I5" s="33">
        <v>-999</v>
      </c>
      <c r="J5" s="33">
        <v>-999</v>
      </c>
      <c r="K5" s="33">
        <v>-999</v>
      </c>
      <c r="L5" s="29" t="s">
        <v>15</v>
      </c>
      <c r="M5" s="29" t="s">
        <v>298</v>
      </c>
      <c r="N5" s="29" t="s">
        <v>186</v>
      </c>
    </row>
    <row r="6" spans="1:14" s="29" customFormat="1">
      <c r="A6" s="29">
        <v>5512</v>
      </c>
      <c r="B6" s="29">
        <v>18.2</v>
      </c>
      <c r="C6" s="30">
        <v>0.30813570000000001</v>
      </c>
      <c r="D6" s="31">
        <v>9.8630999999999996E-3</v>
      </c>
      <c r="E6" s="32">
        <v>1.01826E-2</v>
      </c>
      <c r="F6" s="31">
        <v>0.30813570000000001</v>
      </c>
      <c r="G6" s="31">
        <v>9.8630999999999996E-3</v>
      </c>
      <c r="H6" s="32">
        <v>1.01826E-2</v>
      </c>
      <c r="I6" s="33">
        <v>-999</v>
      </c>
      <c r="J6" s="33">
        <v>-999</v>
      </c>
      <c r="K6" s="33">
        <v>-999</v>
      </c>
      <c r="L6" s="29" t="s">
        <v>15</v>
      </c>
      <c r="M6" s="29" t="s">
        <v>185</v>
      </c>
      <c r="N6" s="29" t="s">
        <v>297</v>
      </c>
    </row>
    <row r="7" spans="1:14" s="34" customFormat="1">
      <c r="A7" s="34">
        <v>661</v>
      </c>
      <c r="B7" s="34">
        <v>18.2</v>
      </c>
      <c r="C7" s="35">
        <v>0.30813570000000001</v>
      </c>
      <c r="D7" s="36">
        <v>9.8630999999999996E-3</v>
      </c>
      <c r="E7" s="37">
        <v>1.01826E-2</v>
      </c>
      <c r="F7" s="36">
        <v>0.30813570000000001</v>
      </c>
      <c r="G7" s="36">
        <v>9.8630999999999996E-3</v>
      </c>
      <c r="H7" s="37">
        <v>1.01826E-2</v>
      </c>
      <c r="I7" s="38">
        <v>15</v>
      </c>
      <c r="J7" s="38">
        <v>2.7</v>
      </c>
      <c r="K7" s="38">
        <v>7</v>
      </c>
      <c r="L7" s="34" t="s">
        <v>15</v>
      </c>
      <c r="M7" s="34" t="s">
        <v>286</v>
      </c>
    </row>
    <row r="8" spans="1:14">
      <c r="A8" s="26">
        <v>-9</v>
      </c>
    </row>
    <row r="9" spans="1:14">
      <c r="A9" s="26">
        <v>-9</v>
      </c>
    </row>
    <row r="10" spans="1:14" s="39" customFormat="1">
      <c r="H10" s="41"/>
      <c r="I10" s="40"/>
    </row>
    <row r="11" spans="1:14" s="39" customFormat="1">
      <c r="H11" s="40"/>
      <c r="I11" s="42"/>
    </row>
    <row r="12" spans="1:14" s="39" customFormat="1">
      <c r="H12" s="40"/>
      <c r="I12" s="42"/>
    </row>
    <row r="13" spans="1:14" s="39" customFormat="1">
      <c r="H13" s="40"/>
      <c r="I13" s="42"/>
    </row>
    <row r="14" spans="1:14" s="39" customFormat="1"/>
    <row r="15" spans="1:14" s="39" customFormat="1"/>
    <row r="16" spans="1:14" s="39" customFormat="1"/>
    <row r="17" s="39" customFormat="1"/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8"/>
  <sheetViews>
    <sheetView workbookViewId="0">
      <selection activeCell="C30" sqref="C30"/>
    </sheetView>
  </sheetViews>
  <sheetFormatPr defaultColWidth="9.09765625" defaultRowHeight="13.25"/>
  <cols>
    <col min="1" max="3" width="9.09765625" style="8"/>
    <col min="4" max="4" width="15.09765625" style="8" customWidth="1"/>
    <col min="5" max="11" width="6" style="8" customWidth="1"/>
    <col min="12" max="18" width="9.09765625" style="8"/>
    <col min="19" max="25" width="11.8984375" style="8" customWidth="1"/>
    <col min="26" max="26" width="2.3984375" style="8" customWidth="1"/>
    <col min="27" max="16384" width="9.09765625" style="8"/>
  </cols>
  <sheetData>
    <row r="1" spans="1:28">
      <c r="A1" s="8">
        <v>1</v>
      </c>
      <c r="B1" s="8">
        <v>2</v>
      </c>
      <c r="C1" s="8">
        <v>3</v>
      </c>
      <c r="D1" s="8">
        <v>4</v>
      </c>
      <c r="E1" s="8">
        <v>5</v>
      </c>
      <c r="F1" s="8">
        <v>6</v>
      </c>
      <c r="G1" s="8">
        <v>7</v>
      </c>
      <c r="H1" s="8">
        <v>8</v>
      </c>
      <c r="I1" s="8">
        <v>9</v>
      </c>
      <c r="J1" s="8">
        <v>10</v>
      </c>
      <c r="K1" s="8">
        <v>11</v>
      </c>
      <c r="L1" s="8">
        <v>12</v>
      </c>
      <c r="M1" s="8">
        <v>13</v>
      </c>
      <c r="N1" s="8">
        <v>14</v>
      </c>
      <c r="O1" s="8">
        <v>15</v>
      </c>
      <c r="P1" s="8">
        <v>16</v>
      </c>
      <c r="Q1" s="8">
        <v>17</v>
      </c>
      <c r="R1" s="8">
        <v>18</v>
      </c>
      <c r="S1" s="8">
        <v>19</v>
      </c>
      <c r="T1" s="8">
        <v>20</v>
      </c>
      <c r="U1" s="8">
        <v>21</v>
      </c>
      <c r="V1" s="8">
        <v>22</v>
      </c>
      <c r="W1" s="8">
        <v>23</v>
      </c>
      <c r="X1" s="8">
        <v>24</v>
      </c>
      <c r="Y1" s="8">
        <v>25</v>
      </c>
    </row>
    <row r="2" spans="1:28">
      <c r="A2" s="8" t="s">
        <v>1</v>
      </c>
      <c r="B2" s="8" t="s">
        <v>46</v>
      </c>
      <c r="C2" s="8" t="s">
        <v>47</v>
      </c>
      <c r="D2" s="8" t="s">
        <v>48</v>
      </c>
      <c r="E2" s="8" t="s">
        <v>49</v>
      </c>
      <c r="F2" s="8" t="s">
        <v>159</v>
      </c>
      <c r="G2" s="8" t="s">
        <v>160</v>
      </c>
      <c r="H2" s="8" t="s">
        <v>161</v>
      </c>
      <c r="I2" s="8" t="s">
        <v>162</v>
      </c>
      <c r="J2" s="8" t="s">
        <v>163</v>
      </c>
      <c r="K2" s="8" t="s">
        <v>164</v>
      </c>
      <c r="L2" s="8" t="s">
        <v>50</v>
      </c>
      <c r="M2" s="8" t="s">
        <v>51</v>
      </c>
      <c r="N2" s="8" t="s">
        <v>52</v>
      </c>
      <c r="O2" s="8" t="s">
        <v>53</v>
      </c>
      <c r="P2" s="8" t="s">
        <v>54</v>
      </c>
      <c r="Q2" s="8" t="s">
        <v>55</v>
      </c>
      <c r="R2" s="8" t="s">
        <v>56</v>
      </c>
      <c r="S2" s="8" t="s">
        <v>57</v>
      </c>
      <c r="T2" s="8" t="s">
        <v>58</v>
      </c>
      <c r="U2" s="8" t="s">
        <v>59</v>
      </c>
      <c r="V2" s="8" t="s">
        <v>60</v>
      </c>
      <c r="W2" s="8" t="s">
        <v>61</v>
      </c>
      <c r="X2" s="8" t="s">
        <v>62</v>
      </c>
      <c r="Y2" s="8" t="s">
        <v>63</v>
      </c>
    </row>
    <row r="3" spans="1:28">
      <c r="A3" s="8">
        <v>99999</v>
      </c>
      <c r="B3" s="8">
        <v>1</v>
      </c>
      <c r="C3" s="8">
        <v>366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 t="s">
        <v>15</v>
      </c>
      <c r="AA3" s="8" t="s">
        <v>458</v>
      </c>
    </row>
    <row r="4" spans="1:28">
      <c r="A4" s="8">
        <v>1</v>
      </c>
      <c r="B4" s="8">
        <v>152</v>
      </c>
      <c r="C4" s="8">
        <v>243</v>
      </c>
      <c r="D4" s="8">
        <v>0</v>
      </c>
      <c r="E4" s="8">
        <v>0.2</v>
      </c>
      <c r="F4" s="8">
        <v>-84.534999999999997</v>
      </c>
      <c r="G4" s="8">
        <v>9.9589999999999996</v>
      </c>
      <c r="H4" s="8">
        <v>3.6739999999999999</v>
      </c>
      <c r="I4" s="8">
        <v>-25.36</v>
      </c>
      <c r="J4" s="8">
        <v>2.988</v>
      </c>
      <c r="K4" s="8">
        <v>1.1020000000000001</v>
      </c>
      <c r="L4" s="8">
        <v>1</v>
      </c>
      <c r="M4" s="8">
        <v>1</v>
      </c>
      <c r="N4" s="8">
        <v>1</v>
      </c>
      <c r="O4" s="8">
        <v>1</v>
      </c>
      <c r="P4" s="8">
        <v>1</v>
      </c>
      <c r="Q4" s="8">
        <v>1</v>
      </c>
      <c r="R4" s="8">
        <v>1</v>
      </c>
      <c r="S4" s="8">
        <v>1</v>
      </c>
      <c r="T4" s="8">
        <v>1</v>
      </c>
      <c r="U4" s="8">
        <v>1</v>
      </c>
      <c r="V4" s="8">
        <v>1</v>
      </c>
      <c r="W4" s="8">
        <v>1</v>
      </c>
      <c r="X4" s="8">
        <v>1</v>
      </c>
      <c r="Y4" s="8">
        <v>1</v>
      </c>
    </row>
    <row r="5" spans="1:28" s="43" customFormat="1">
      <c r="A5" s="43">
        <v>550</v>
      </c>
      <c r="B5" s="43">
        <v>1</v>
      </c>
      <c r="C5" s="43">
        <v>366</v>
      </c>
      <c r="D5" s="43">
        <v>0</v>
      </c>
      <c r="E5" s="43">
        <v>0</v>
      </c>
      <c r="F5" s="43">
        <v>0</v>
      </c>
      <c r="G5" s="43">
        <v>0</v>
      </c>
      <c r="H5" s="43">
        <v>0</v>
      </c>
      <c r="I5" s="43">
        <v>0</v>
      </c>
      <c r="J5" s="43">
        <v>0</v>
      </c>
      <c r="K5" s="43">
        <v>0</v>
      </c>
      <c r="L5" s="43">
        <v>0</v>
      </c>
      <c r="M5" s="43">
        <v>0</v>
      </c>
      <c r="N5" s="43">
        <v>0</v>
      </c>
      <c r="O5" s="43">
        <v>0</v>
      </c>
      <c r="P5" s="43">
        <v>0</v>
      </c>
      <c r="Q5" s="43">
        <v>0</v>
      </c>
      <c r="R5" s="43">
        <v>0</v>
      </c>
      <c r="S5" s="43">
        <v>0</v>
      </c>
      <c r="T5" s="43">
        <v>0</v>
      </c>
      <c r="U5" s="43">
        <v>0</v>
      </c>
      <c r="V5" s="43">
        <v>0</v>
      </c>
      <c r="W5" s="43">
        <v>0</v>
      </c>
      <c r="X5" s="43">
        <v>0</v>
      </c>
      <c r="Y5" s="43">
        <v>0</v>
      </c>
      <c r="Z5" s="43" t="s">
        <v>15</v>
      </c>
      <c r="AA5" s="43" t="s">
        <v>185</v>
      </c>
      <c r="AB5" s="43" t="s">
        <v>190</v>
      </c>
    </row>
    <row r="6" spans="1:28" s="44" customFormat="1">
      <c r="A6" s="44">
        <v>660</v>
      </c>
      <c r="B6" s="44">
        <v>1</v>
      </c>
      <c r="C6" s="44">
        <v>366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44">
        <v>0</v>
      </c>
      <c r="J6" s="44">
        <v>0</v>
      </c>
      <c r="K6" s="44">
        <v>0</v>
      </c>
      <c r="L6" s="44">
        <v>0</v>
      </c>
      <c r="M6" s="44">
        <v>0</v>
      </c>
      <c r="N6" s="44">
        <v>0</v>
      </c>
      <c r="O6" s="44">
        <v>0</v>
      </c>
      <c r="P6" s="44">
        <v>0</v>
      </c>
      <c r="Q6" s="44">
        <v>0</v>
      </c>
      <c r="R6" s="44">
        <v>0</v>
      </c>
      <c r="S6" s="44">
        <v>0</v>
      </c>
      <c r="T6" s="44">
        <v>0</v>
      </c>
      <c r="U6" s="44">
        <v>0</v>
      </c>
      <c r="V6" s="44">
        <v>0</v>
      </c>
      <c r="W6" s="44">
        <v>0</v>
      </c>
      <c r="X6" s="44">
        <v>0</v>
      </c>
      <c r="Y6" s="44">
        <v>0</v>
      </c>
      <c r="Z6" s="44" t="s">
        <v>15</v>
      </c>
      <c r="AA6" s="44" t="s">
        <v>286</v>
      </c>
      <c r="AB6" s="44" t="s">
        <v>289</v>
      </c>
    </row>
    <row r="7" spans="1:28">
      <c r="A7" s="8">
        <v>-9</v>
      </c>
    </row>
    <row r="8" spans="1:28">
      <c r="A8" s="8">
        <v>-9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49"/>
  <sheetViews>
    <sheetView workbookViewId="0">
      <selection activeCell="L17" sqref="L17"/>
    </sheetView>
  </sheetViews>
  <sheetFormatPr defaultColWidth="9.09765625" defaultRowHeight="12.85" customHeight="1"/>
  <cols>
    <col min="1" max="1" width="9.296875" style="27" customWidth="1"/>
    <col min="2" max="25" width="5.69921875" style="27" customWidth="1"/>
    <col min="26" max="26" width="2.296875" style="27" customWidth="1"/>
    <col min="27" max="16384" width="9.09765625" style="27"/>
  </cols>
  <sheetData>
    <row r="1" spans="1:32" ht="12.85" customHeight="1">
      <c r="A1" s="27">
        <v>1</v>
      </c>
      <c r="B1" s="27">
        <v>2</v>
      </c>
      <c r="C1" s="27">
        <v>3</v>
      </c>
      <c r="D1" s="27">
        <v>4</v>
      </c>
      <c r="E1" s="27">
        <v>5</v>
      </c>
      <c r="F1" s="27">
        <v>6</v>
      </c>
      <c r="G1" s="27">
        <v>7</v>
      </c>
      <c r="H1" s="27">
        <v>8</v>
      </c>
      <c r="I1" s="27">
        <v>9</v>
      </c>
      <c r="J1" s="27">
        <v>10</v>
      </c>
      <c r="K1" s="27">
        <v>11</v>
      </c>
      <c r="L1" s="27">
        <v>12</v>
      </c>
      <c r="M1" s="27">
        <v>13</v>
      </c>
      <c r="N1" s="27">
        <v>14</v>
      </c>
      <c r="O1" s="27">
        <v>15</v>
      </c>
      <c r="P1" s="27">
        <v>16</v>
      </c>
      <c r="Q1" s="27">
        <v>17</v>
      </c>
      <c r="R1" s="27">
        <v>18</v>
      </c>
      <c r="S1" s="27">
        <v>19</v>
      </c>
      <c r="T1" s="27">
        <v>20</v>
      </c>
      <c r="U1" s="27">
        <v>21</v>
      </c>
      <c r="V1" s="27">
        <v>22</v>
      </c>
      <c r="W1" s="27">
        <v>23</v>
      </c>
      <c r="X1" s="27">
        <v>24</v>
      </c>
      <c r="Y1" s="27">
        <v>25</v>
      </c>
    </row>
    <row r="2" spans="1:32" ht="12.85" customHeight="1">
      <c r="A2" s="27" t="s">
        <v>1</v>
      </c>
      <c r="B2" s="45">
        <v>0</v>
      </c>
      <c r="C2" s="45">
        <v>1</v>
      </c>
      <c r="D2" s="45">
        <v>2</v>
      </c>
      <c r="E2" s="45">
        <v>3</v>
      </c>
      <c r="F2" s="45">
        <v>4</v>
      </c>
      <c r="G2" s="45">
        <v>5</v>
      </c>
      <c r="H2" s="45">
        <v>6</v>
      </c>
      <c r="I2" s="45">
        <v>7</v>
      </c>
      <c r="J2" s="45">
        <v>8</v>
      </c>
      <c r="K2" s="45">
        <v>9</v>
      </c>
      <c r="L2" s="45">
        <v>10</v>
      </c>
      <c r="M2" s="45">
        <v>11</v>
      </c>
      <c r="N2" s="45">
        <v>12</v>
      </c>
      <c r="O2" s="45">
        <v>13</v>
      </c>
      <c r="P2" s="45">
        <v>14</v>
      </c>
      <c r="Q2" s="45">
        <v>15</v>
      </c>
      <c r="R2" s="45">
        <v>16</v>
      </c>
      <c r="S2" s="45">
        <v>17</v>
      </c>
      <c r="T2" s="45">
        <v>18</v>
      </c>
      <c r="U2" s="45">
        <v>19</v>
      </c>
      <c r="V2" s="45">
        <v>20</v>
      </c>
      <c r="W2" s="45">
        <v>21</v>
      </c>
      <c r="X2" s="45">
        <v>22</v>
      </c>
      <c r="Y2" s="46">
        <v>23</v>
      </c>
    </row>
    <row r="3" spans="1:32" ht="12.85" customHeight="1">
      <c r="A3" s="27">
        <v>10</v>
      </c>
      <c r="B3" s="47">
        <v>0.01</v>
      </c>
      <c r="C3" s="47">
        <v>0.01</v>
      </c>
      <c r="D3" s="47">
        <v>0.01</v>
      </c>
      <c r="E3" s="47">
        <v>0.01</v>
      </c>
      <c r="F3" s="47">
        <v>0.01</v>
      </c>
      <c r="G3" s="47">
        <v>0.01</v>
      </c>
      <c r="H3" s="47">
        <v>0.01</v>
      </c>
      <c r="I3" s="47">
        <v>0.04</v>
      </c>
      <c r="J3" s="47">
        <v>0.04</v>
      </c>
      <c r="K3" s="47">
        <v>0.04</v>
      </c>
      <c r="L3" s="47">
        <v>0.04</v>
      </c>
      <c r="M3" s="47">
        <v>0.04</v>
      </c>
      <c r="N3" s="47">
        <v>0.04</v>
      </c>
      <c r="O3" s="47">
        <v>0.04</v>
      </c>
      <c r="P3" s="47">
        <v>0.04</v>
      </c>
      <c r="Q3" s="47">
        <v>0.04</v>
      </c>
      <c r="R3" s="47">
        <v>0.13</v>
      </c>
      <c r="S3" s="47">
        <v>0.13</v>
      </c>
      <c r="T3" s="47">
        <v>0.13</v>
      </c>
      <c r="U3" s="47">
        <v>0.13</v>
      </c>
      <c r="V3" s="47">
        <v>0.01</v>
      </c>
      <c r="W3" s="47">
        <v>0.01</v>
      </c>
      <c r="X3" s="47">
        <v>0.01</v>
      </c>
      <c r="Y3" s="48">
        <v>0.01</v>
      </c>
      <c r="Z3" s="49" t="s">
        <v>15</v>
      </c>
      <c r="AA3" s="48" t="s">
        <v>18</v>
      </c>
      <c r="AB3" s="28" t="s">
        <v>17</v>
      </c>
    </row>
    <row r="4" spans="1:32" ht="12.85" customHeight="1">
      <c r="A4" s="27">
        <v>11</v>
      </c>
      <c r="B4" s="47">
        <v>0.03</v>
      </c>
      <c r="C4" s="47">
        <v>0.03</v>
      </c>
      <c r="D4" s="47">
        <v>0.03</v>
      </c>
      <c r="E4" s="47">
        <v>0.03</v>
      </c>
      <c r="F4" s="47">
        <v>0.03</v>
      </c>
      <c r="G4" s="47">
        <v>0.03</v>
      </c>
      <c r="H4" s="47">
        <v>0.03</v>
      </c>
      <c r="I4" s="47">
        <v>0.02</v>
      </c>
      <c r="J4" s="47">
        <v>0.02</v>
      </c>
      <c r="K4" s="47">
        <v>0.02</v>
      </c>
      <c r="L4" s="47">
        <v>0.02</v>
      </c>
      <c r="M4" s="47">
        <v>0.02</v>
      </c>
      <c r="N4" s="47">
        <v>0.02</v>
      </c>
      <c r="O4" s="47">
        <v>0.02</v>
      </c>
      <c r="P4" s="47">
        <v>0.02</v>
      </c>
      <c r="Q4" s="47">
        <v>0.02</v>
      </c>
      <c r="R4" s="47">
        <v>0.12</v>
      </c>
      <c r="S4" s="47">
        <v>0.12</v>
      </c>
      <c r="T4" s="47">
        <v>0.12</v>
      </c>
      <c r="U4" s="47">
        <v>0.12</v>
      </c>
      <c r="V4" s="47">
        <v>0.03</v>
      </c>
      <c r="W4" s="47">
        <v>0.03</v>
      </c>
      <c r="X4" s="47">
        <v>0.03</v>
      </c>
      <c r="Y4" s="48">
        <v>0.03</v>
      </c>
      <c r="Z4" s="49" t="s">
        <v>15</v>
      </c>
      <c r="AA4" s="48" t="s">
        <v>19</v>
      </c>
      <c r="AB4" s="28" t="s">
        <v>17</v>
      </c>
    </row>
    <row r="5" spans="1:32" ht="12.85" customHeight="1">
      <c r="A5" s="27">
        <v>12</v>
      </c>
      <c r="B5" s="47">
        <v>0.04</v>
      </c>
      <c r="C5" s="47">
        <v>0.04</v>
      </c>
      <c r="D5" s="47">
        <v>0.04</v>
      </c>
      <c r="E5" s="47">
        <v>0.04</v>
      </c>
      <c r="F5" s="47">
        <v>0.04</v>
      </c>
      <c r="G5" s="47">
        <v>0.04</v>
      </c>
      <c r="H5" s="47">
        <v>0.04</v>
      </c>
      <c r="I5" s="47">
        <v>0.04</v>
      </c>
      <c r="J5" s="47">
        <v>0.04</v>
      </c>
      <c r="K5" s="47">
        <v>0.04</v>
      </c>
      <c r="L5" s="47">
        <v>0.04</v>
      </c>
      <c r="M5" s="47">
        <v>0.04</v>
      </c>
      <c r="N5" s="47">
        <v>0.04</v>
      </c>
      <c r="O5" s="47">
        <v>0.04</v>
      </c>
      <c r="P5" s="47">
        <v>0.04</v>
      </c>
      <c r="Q5" s="47">
        <v>0.04</v>
      </c>
      <c r="R5" s="47">
        <v>0.05</v>
      </c>
      <c r="S5" s="47">
        <v>0.05</v>
      </c>
      <c r="T5" s="47">
        <v>0.05</v>
      </c>
      <c r="U5" s="47">
        <v>0.05</v>
      </c>
      <c r="V5" s="47">
        <v>0.04</v>
      </c>
      <c r="W5" s="47">
        <v>0.04</v>
      </c>
      <c r="X5" s="47">
        <v>0.04</v>
      </c>
      <c r="Y5" s="48">
        <v>0.04</v>
      </c>
      <c r="Z5" s="49" t="s">
        <v>15</v>
      </c>
      <c r="AA5" s="48" t="s">
        <v>20</v>
      </c>
      <c r="AB5" s="28" t="s">
        <v>17</v>
      </c>
    </row>
    <row r="6" spans="1:32" ht="12.85" customHeight="1"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8"/>
      <c r="Z6" s="49"/>
      <c r="AA6" s="48"/>
      <c r="AB6" s="28"/>
    </row>
    <row r="7" spans="1:32" ht="12.85" customHeight="1">
      <c r="A7" s="27">
        <v>40</v>
      </c>
      <c r="B7" s="47">
        <v>0.3</v>
      </c>
      <c r="C7" s="47">
        <v>0.23</v>
      </c>
      <c r="D7" s="47">
        <v>0.15</v>
      </c>
      <c r="E7" s="47">
        <v>0.13</v>
      </c>
      <c r="F7" s="47">
        <v>0.15</v>
      </c>
      <c r="G7" s="47">
        <v>0.45</v>
      </c>
      <c r="H7" s="47">
        <v>1.2</v>
      </c>
      <c r="I7" s="47">
        <v>1.7</v>
      </c>
      <c r="J7" s="47">
        <v>1.55</v>
      </c>
      <c r="K7" s="47">
        <v>1.4</v>
      </c>
      <c r="L7" s="47">
        <v>1.3</v>
      </c>
      <c r="M7" s="47">
        <v>1.3</v>
      </c>
      <c r="N7" s="47">
        <v>1.35</v>
      </c>
      <c r="O7" s="47">
        <v>1.37</v>
      </c>
      <c r="P7" s="47">
        <v>1.45</v>
      </c>
      <c r="Q7" s="47">
        <v>1.6</v>
      </c>
      <c r="R7" s="47">
        <v>1.75</v>
      </c>
      <c r="S7" s="47">
        <v>1.7</v>
      </c>
      <c r="T7" s="47">
        <v>1.2</v>
      </c>
      <c r="U7" s="47">
        <v>1.1000000000000001</v>
      </c>
      <c r="V7" s="47">
        <v>0.95</v>
      </c>
      <c r="W7" s="47">
        <v>0.65</v>
      </c>
      <c r="X7" s="47">
        <v>0.38</v>
      </c>
      <c r="Y7" s="48">
        <v>0.33</v>
      </c>
      <c r="Z7" s="49" t="s">
        <v>15</v>
      </c>
      <c r="AA7" s="48" t="s">
        <v>21</v>
      </c>
      <c r="AB7" s="28" t="s">
        <v>0</v>
      </c>
    </row>
    <row r="8" spans="1:32" ht="12.85" customHeight="1">
      <c r="A8" s="27">
        <v>41</v>
      </c>
      <c r="B8" s="47">
        <v>1</v>
      </c>
      <c r="C8" s="47">
        <v>1</v>
      </c>
      <c r="D8" s="47">
        <v>1</v>
      </c>
      <c r="E8" s="47">
        <v>1</v>
      </c>
      <c r="F8" s="47">
        <v>1</v>
      </c>
      <c r="G8" s="47">
        <v>1</v>
      </c>
      <c r="H8" s="47">
        <v>1</v>
      </c>
      <c r="I8" s="47">
        <v>1</v>
      </c>
      <c r="J8" s="47">
        <v>1</v>
      </c>
      <c r="K8" s="47">
        <v>1</v>
      </c>
      <c r="L8" s="47">
        <v>1</v>
      </c>
      <c r="M8" s="47">
        <v>1</v>
      </c>
      <c r="N8" s="47">
        <v>1</v>
      </c>
      <c r="O8" s="47">
        <v>1</v>
      </c>
      <c r="P8" s="47">
        <v>1</v>
      </c>
      <c r="Q8" s="47">
        <v>1</v>
      </c>
      <c r="R8" s="47">
        <v>1</v>
      </c>
      <c r="S8" s="47">
        <v>1</v>
      </c>
      <c r="T8" s="47">
        <v>1</v>
      </c>
      <c r="U8" s="47">
        <v>1</v>
      </c>
      <c r="V8" s="47">
        <v>1</v>
      </c>
      <c r="W8" s="47">
        <v>1</v>
      </c>
      <c r="X8" s="47">
        <v>1</v>
      </c>
      <c r="Y8" s="48">
        <v>1</v>
      </c>
      <c r="Z8" s="49" t="s">
        <v>15</v>
      </c>
      <c r="AA8" s="48" t="s">
        <v>21</v>
      </c>
      <c r="AB8" s="28" t="s">
        <v>0</v>
      </c>
    </row>
    <row r="9" spans="1:32" ht="12.85" customHeight="1">
      <c r="A9" s="27">
        <v>42</v>
      </c>
      <c r="B9" s="47">
        <v>0.56999999999999995</v>
      </c>
      <c r="C9" s="47">
        <v>0.45</v>
      </c>
      <c r="D9" s="47">
        <v>0.43</v>
      </c>
      <c r="E9" s="47">
        <v>0.4</v>
      </c>
      <c r="F9" s="47">
        <v>0.4</v>
      </c>
      <c r="G9" s="47">
        <v>0.45</v>
      </c>
      <c r="H9" s="47">
        <v>0.71</v>
      </c>
      <c r="I9" s="47">
        <v>1.2</v>
      </c>
      <c r="J9" s="47">
        <v>1.44</v>
      </c>
      <c r="K9" s="47">
        <v>1.29</v>
      </c>
      <c r="L9" s="47">
        <v>1.28</v>
      </c>
      <c r="M9" s="47">
        <v>1.31</v>
      </c>
      <c r="N9" s="47">
        <v>1.3</v>
      </c>
      <c r="O9" s="47">
        <v>1.32</v>
      </c>
      <c r="P9" s="47">
        <v>1.35</v>
      </c>
      <c r="Q9" s="47">
        <v>1.44</v>
      </c>
      <c r="R9" s="47">
        <v>1.51</v>
      </c>
      <c r="S9" s="47">
        <v>1.41</v>
      </c>
      <c r="T9" s="47">
        <v>1.1399999999999999</v>
      </c>
      <c r="U9" s="47">
        <v>0.99</v>
      </c>
      <c r="V9" s="47">
        <v>0.86</v>
      </c>
      <c r="W9" s="47">
        <v>0.85</v>
      </c>
      <c r="X9" s="47">
        <v>0.8</v>
      </c>
      <c r="Y9" s="48">
        <v>0.7</v>
      </c>
      <c r="Z9" s="49" t="s">
        <v>15</v>
      </c>
      <c r="AA9" s="48" t="s">
        <v>22</v>
      </c>
      <c r="AB9" s="28" t="s">
        <v>0</v>
      </c>
      <c r="AF9" s="27" t="s">
        <v>292</v>
      </c>
    </row>
    <row r="10" spans="1:32" ht="12.85" customHeight="1">
      <c r="A10" s="27">
        <v>43</v>
      </c>
      <c r="B10" s="47">
        <v>0.65</v>
      </c>
      <c r="C10" s="47">
        <v>0.49</v>
      </c>
      <c r="D10" s="47">
        <v>0.46</v>
      </c>
      <c r="E10" s="47">
        <v>0.47</v>
      </c>
      <c r="F10" s="47">
        <v>0.47</v>
      </c>
      <c r="G10" s="47">
        <v>0.53</v>
      </c>
      <c r="H10" s="47">
        <v>0.7</v>
      </c>
      <c r="I10" s="47">
        <v>1.1299999999999999</v>
      </c>
      <c r="J10" s="47">
        <v>1.37</v>
      </c>
      <c r="K10" s="47">
        <v>1.37</v>
      </c>
      <c r="L10" s="47">
        <v>1.3</v>
      </c>
      <c r="M10" s="47">
        <v>1.37</v>
      </c>
      <c r="N10" s="47">
        <v>1.33</v>
      </c>
      <c r="O10" s="47">
        <v>1.3</v>
      </c>
      <c r="P10" s="47">
        <v>1.27</v>
      </c>
      <c r="Q10" s="47">
        <v>1.36</v>
      </c>
      <c r="R10" s="47">
        <v>1.44</v>
      </c>
      <c r="S10" s="47">
        <v>1.3</v>
      </c>
      <c r="T10" s="47">
        <v>1.1000000000000001</v>
      </c>
      <c r="U10" s="47">
        <v>0.98</v>
      </c>
      <c r="V10" s="47">
        <v>0.84</v>
      </c>
      <c r="W10" s="47">
        <v>0.9</v>
      </c>
      <c r="X10" s="47">
        <v>0.87</v>
      </c>
      <c r="Y10" s="48">
        <v>0.74</v>
      </c>
      <c r="Z10" s="49" t="s">
        <v>15</v>
      </c>
      <c r="AA10" s="48" t="s">
        <v>23</v>
      </c>
      <c r="AB10" s="28" t="s">
        <v>0</v>
      </c>
      <c r="AF10" s="27" t="s">
        <v>292</v>
      </c>
    </row>
    <row r="11" spans="1:32" ht="12.85" customHeight="1"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8"/>
      <c r="Z11" s="49"/>
      <c r="AA11" s="48"/>
    </row>
    <row r="12" spans="1:32" ht="12.85" customHeight="1">
      <c r="A12" s="27">
        <v>1</v>
      </c>
      <c r="B12" s="47">
        <v>0</v>
      </c>
      <c r="C12" s="47">
        <v>0</v>
      </c>
      <c r="D12" s="47">
        <v>0</v>
      </c>
      <c r="E12" s="47">
        <v>0</v>
      </c>
      <c r="F12" s="47">
        <v>0</v>
      </c>
      <c r="G12" s="47">
        <v>0</v>
      </c>
      <c r="H12" s="47">
        <v>1</v>
      </c>
      <c r="I12" s="47">
        <v>1</v>
      </c>
      <c r="J12" s="47">
        <v>1</v>
      </c>
      <c r="K12" s="47">
        <v>1</v>
      </c>
      <c r="L12" s="47">
        <v>1</v>
      </c>
      <c r="M12" s="47">
        <v>1</v>
      </c>
      <c r="N12" s="47">
        <v>1</v>
      </c>
      <c r="O12" s="47">
        <v>1</v>
      </c>
      <c r="P12" s="47">
        <v>1</v>
      </c>
      <c r="Q12" s="47">
        <v>1</v>
      </c>
      <c r="R12" s="47">
        <v>1</v>
      </c>
      <c r="S12" s="47">
        <v>1</v>
      </c>
      <c r="T12" s="47">
        <v>0</v>
      </c>
      <c r="U12" s="47">
        <v>0</v>
      </c>
      <c r="V12" s="47">
        <v>0</v>
      </c>
      <c r="W12" s="47">
        <v>0</v>
      </c>
      <c r="X12" s="47">
        <v>0</v>
      </c>
      <c r="Y12" s="48">
        <v>0</v>
      </c>
      <c r="Z12" s="49" t="s">
        <v>15</v>
      </c>
      <c r="AA12" s="48" t="s">
        <v>24</v>
      </c>
      <c r="AB12" s="28" t="s">
        <v>25</v>
      </c>
    </row>
    <row r="13" spans="1:32" ht="12.85" customHeight="1"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8"/>
      <c r="Z13" s="49"/>
      <c r="AA13" s="48"/>
      <c r="AB13" s="28"/>
    </row>
    <row r="14" spans="1:32" ht="12.85" customHeight="1">
      <c r="A14" s="27">
        <v>99999</v>
      </c>
      <c r="B14" s="8">
        <v>-999</v>
      </c>
      <c r="C14" s="8">
        <v>-999</v>
      </c>
      <c r="D14" s="8">
        <v>-999</v>
      </c>
      <c r="E14" s="8">
        <v>-999</v>
      </c>
      <c r="F14" s="8">
        <v>-999</v>
      </c>
      <c r="G14" s="8">
        <v>-999</v>
      </c>
      <c r="H14" s="8">
        <v>-999</v>
      </c>
      <c r="I14" s="8">
        <v>-999</v>
      </c>
      <c r="J14" s="8">
        <v>-999</v>
      </c>
      <c r="K14" s="8">
        <v>-999</v>
      </c>
      <c r="L14" s="8">
        <v>-999</v>
      </c>
      <c r="M14" s="8">
        <v>-999</v>
      </c>
      <c r="N14" s="8">
        <v>-999</v>
      </c>
      <c r="O14" s="8">
        <v>-999</v>
      </c>
      <c r="P14" s="8">
        <v>-999</v>
      </c>
      <c r="Q14" s="8">
        <v>-999</v>
      </c>
      <c r="R14" s="8">
        <v>-999</v>
      </c>
      <c r="S14" s="8">
        <v>-999</v>
      </c>
      <c r="T14" s="8">
        <v>-999</v>
      </c>
      <c r="U14" s="8">
        <v>-999</v>
      </c>
      <c r="V14" s="8">
        <v>-999</v>
      </c>
      <c r="W14" s="8">
        <v>-999</v>
      </c>
      <c r="X14" s="8">
        <v>-999</v>
      </c>
      <c r="Y14" s="8">
        <v>-999</v>
      </c>
      <c r="Z14" s="53" t="s">
        <v>15</v>
      </c>
      <c r="AA14" s="54" t="s">
        <v>185</v>
      </c>
      <c r="AB14" s="28" t="s">
        <v>277</v>
      </c>
    </row>
    <row r="15" spans="1:32" s="79" customFormat="1" ht="12.85" customHeight="1">
      <c r="A15" s="79">
        <v>90000</v>
      </c>
      <c r="B15" s="80">
        <v>1</v>
      </c>
      <c r="C15" s="80">
        <v>1</v>
      </c>
      <c r="D15" s="80">
        <v>1</v>
      </c>
      <c r="E15" s="80">
        <v>1</v>
      </c>
      <c r="F15" s="80">
        <v>1</v>
      </c>
      <c r="G15" s="80">
        <v>1</v>
      </c>
      <c r="H15" s="80">
        <v>1</v>
      </c>
      <c r="I15" s="80">
        <v>1</v>
      </c>
      <c r="J15" s="80">
        <v>1</v>
      </c>
      <c r="K15" s="80">
        <v>1</v>
      </c>
      <c r="L15" s="80">
        <v>1</v>
      </c>
      <c r="M15" s="80">
        <v>1</v>
      </c>
      <c r="N15" s="80">
        <v>1</v>
      </c>
      <c r="O15" s="80">
        <v>1</v>
      </c>
      <c r="P15" s="80">
        <v>1</v>
      </c>
      <c r="Q15" s="80">
        <v>1</v>
      </c>
      <c r="R15" s="80">
        <v>1</v>
      </c>
      <c r="S15" s="80">
        <v>1</v>
      </c>
      <c r="T15" s="80">
        <v>1</v>
      </c>
      <c r="U15" s="80">
        <v>1</v>
      </c>
      <c r="V15" s="80">
        <v>1</v>
      </c>
      <c r="W15" s="80">
        <v>1</v>
      </c>
      <c r="X15" s="80">
        <v>1</v>
      </c>
      <c r="Y15" s="80">
        <v>1</v>
      </c>
      <c r="Z15" s="81" t="s">
        <v>15</v>
      </c>
      <c r="AA15" s="82" t="s">
        <v>492</v>
      </c>
      <c r="AB15" s="83"/>
    </row>
    <row r="16" spans="1:32" ht="12.85" customHeight="1"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8"/>
      <c r="Z16" s="49"/>
      <c r="AA16" s="48"/>
      <c r="AB16" s="28"/>
    </row>
    <row r="17" spans="1:32" s="33" customFormat="1" ht="12.85" customHeight="1">
      <c r="A17" s="33">
        <v>550</v>
      </c>
      <c r="B17" s="43">
        <v>-999</v>
      </c>
      <c r="C17" s="43">
        <v>-999</v>
      </c>
      <c r="D17" s="43">
        <v>-999</v>
      </c>
      <c r="E17" s="43">
        <v>-999</v>
      </c>
      <c r="F17" s="43">
        <v>-999</v>
      </c>
      <c r="G17" s="43">
        <v>-999</v>
      </c>
      <c r="H17" s="43">
        <v>-999</v>
      </c>
      <c r="I17" s="43">
        <v>-999</v>
      </c>
      <c r="J17" s="43">
        <v>-999</v>
      </c>
      <c r="K17" s="43">
        <v>-999</v>
      </c>
      <c r="L17" s="43">
        <v>-999</v>
      </c>
      <c r="M17" s="43">
        <v>-999</v>
      </c>
      <c r="N17" s="43">
        <v>-999</v>
      </c>
      <c r="O17" s="43">
        <v>-999</v>
      </c>
      <c r="P17" s="43">
        <v>-999</v>
      </c>
      <c r="Q17" s="43">
        <v>-999</v>
      </c>
      <c r="R17" s="43">
        <v>-999</v>
      </c>
      <c r="S17" s="43">
        <v>-999</v>
      </c>
      <c r="T17" s="43">
        <v>-999</v>
      </c>
      <c r="U17" s="43">
        <v>-999</v>
      </c>
      <c r="V17" s="43">
        <v>-999</v>
      </c>
      <c r="W17" s="43">
        <v>-999</v>
      </c>
      <c r="X17" s="43">
        <v>-999</v>
      </c>
      <c r="Y17" s="43">
        <v>-999</v>
      </c>
      <c r="Z17" s="50" t="s">
        <v>15</v>
      </c>
      <c r="AA17" s="51" t="s">
        <v>185</v>
      </c>
      <c r="AB17" s="52" t="s">
        <v>277</v>
      </c>
    </row>
    <row r="18" spans="1:32" s="33" customFormat="1" ht="12.85" customHeight="1">
      <c r="A18" s="33">
        <v>551</v>
      </c>
      <c r="B18" s="43">
        <v>0.56999999999999995</v>
      </c>
      <c r="C18" s="43">
        <v>0.45</v>
      </c>
      <c r="D18" s="43">
        <v>0.43</v>
      </c>
      <c r="E18" s="43">
        <v>0.4</v>
      </c>
      <c r="F18" s="43">
        <v>0.4</v>
      </c>
      <c r="G18" s="43">
        <v>0.45</v>
      </c>
      <c r="H18" s="43">
        <v>0.71</v>
      </c>
      <c r="I18" s="43">
        <v>1.2</v>
      </c>
      <c r="J18" s="43">
        <v>1.44</v>
      </c>
      <c r="K18" s="43">
        <v>1.29</v>
      </c>
      <c r="L18" s="43">
        <v>1.28</v>
      </c>
      <c r="M18" s="43">
        <v>1.31</v>
      </c>
      <c r="N18" s="43">
        <v>1.3</v>
      </c>
      <c r="O18" s="43">
        <v>1.32</v>
      </c>
      <c r="P18" s="43">
        <v>1.35</v>
      </c>
      <c r="Q18" s="43">
        <v>1.44</v>
      </c>
      <c r="R18" s="43">
        <v>1.51</v>
      </c>
      <c r="S18" s="43">
        <v>1.41</v>
      </c>
      <c r="T18" s="43">
        <v>1.1399999999999999</v>
      </c>
      <c r="U18" s="43">
        <v>0.99</v>
      </c>
      <c r="V18" s="43">
        <v>0.86</v>
      </c>
      <c r="W18" s="43">
        <v>0.85</v>
      </c>
      <c r="X18" s="43">
        <v>0.8</v>
      </c>
      <c r="Y18" s="43">
        <v>0.7</v>
      </c>
      <c r="Z18" s="50" t="s">
        <v>15</v>
      </c>
      <c r="AA18" s="51" t="s">
        <v>185</v>
      </c>
      <c r="AB18" s="52" t="s">
        <v>187</v>
      </c>
    </row>
    <row r="19" spans="1:32" s="33" customFormat="1" ht="12.85" customHeight="1">
      <c r="A19" s="33">
        <v>552</v>
      </c>
      <c r="B19" s="43">
        <v>0.65</v>
      </c>
      <c r="C19" s="43">
        <v>0.49</v>
      </c>
      <c r="D19" s="43">
        <v>0.46</v>
      </c>
      <c r="E19" s="43">
        <v>0.47</v>
      </c>
      <c r="F19" s="43">
        <v>0.47</v>
      </c>
      <c r="G19" s="43">
        <v>0.53</v>
      </c>
      <c r="H19" s="43">
        <v>0.7</v>
      </c>
      <c r="I19" s="43">
        <v>1.1299999999999999</v>
      </c>
      <c r="J19" s="43">
        <v>1.37</v>
      </c>
      <c r="K19" s="43">
        <v>1.37</v>
      </c>
      <c r="L19" s="43">
        <v>1.3</v>
      </c>
      <c r="M19" s="43">
        <v>1.37</v>
      </c>
      <c r="N19" s="43">
        <v>1.33</v>
      </c>
      <c r="O19" s="43">
        <v>1.3</v>
      </c>
      <c r="P19" s="43">
        <v>1.27</v>
      </c>
      <c r="Q19" s="43">
        <v>1.36</v>
      </c>
      <c r="R19" s="43">
        <v>1.44</v>
      </c>
      <c r="S19" s="43">
        <v>1.3</v>
      </c>
      <c r="T19" s="43">
        <v>1.1000000000000001</v>
      </c>
      <c r="U19" s="43">
        <v>0.98</v>
      </c>
      <c r="V19" s="43">
        <v>0.84</v>
      </c>
      <c r="W19" s="43">
        <v>0.9</v>
      </c>
      <c r="X19" s="43">
        <v>0.87</v>
      </c>
      <c r="Y19" s="43">
        <v>0.74</v>
      </c>
      <c r="Z19" s="50" t="s">
        <v>15</v>
      </c>
      <c r="AA19" s="51" t="s">
        <v>185</v>
      </c>
      <c r="AB19" s="52" t="s">
        <v>188</v>
      </c>
      <c r="AE19" s="17"/>
      <c r="AF19" s="17"/>
    </row>
    <row r="20" spans="1:32" s="33" customFormat="1" ht="12.85" customHeight="1">
      <c r="A20" s="33">
        <v>5512</v>
      </c>
      <c r="B20" s="43">
        <f>47.63/(16.77+47.63)*B18</f>
        <v>0.42156987577639748</v>
      </c>
      <c r="C20" s="43">
        <f t="shared" ref="C20:H20" si="0">47.63/(16.77+47.63)*C18</f>
        <v>0.33281832298136649</v>
      </c>
      <c r="D20" s="43">
        <f t="shared" si="0"/>
        <v>0.31802639751552791</v>
      </c>
      <c r="E20" s="43">
        <f t="shared" si="0"/>
        <v>0.29583850931677019</v>
      </c>
      <c r="F20" s="43">
        <f t="shared" si="0"/>
        <v>0.29583850931677019</v>
      </c>
      <c r="G20" s="43">
        <f t="shared" si="0"/>
        <v>0.33281832298136649</v>
      </c>
      <c r="H20" s="43">
        <f t="shared" si="0"/>
        <v>0.525113354037267</v>
      </c>
      <c r="I20" s="43">
        <f>AVERAGE(H20,J20)</f>
        <v>0.45004736024844716</v>
      </c>
      <c r="J20" s="43">
        <f>16.77/(16.77+47.63)*J18</f>
        <v>0.37498136645962726</v>
      </c>
      <c r="K20" s="43">
        <f t="shared" ref="K20:R20" si="1">16.77/(16.77+47.63)*K18</f>
        <v>0.33592080745341613</v>
      </c>
      <c r="L20" s="43">
        <f t="shared" si="1"/>
        <v>0.33331677018633538</v>
      </c>
      <c r="M20" s="43">
        <f t="shared" si="1"/>
        <v>0.34112888198757757</v>
      </c>
      <c r="N20" s="43">
        <f t="shared" si="1"/>
        <v>0.33852484472049688</v>
      </c>
      <c r="O20" s="43">
        <f t="shared" si="1"/>
        <v>0.34373291925465832</v>
      </c>
      <c r="P20" s="43">
        <f t="shared" si="1"/>
        <v>0.35154503105590057</v>
      </c>
      <c r="Q20" s="43">
        <f t="shared" si="1"/>
        <v>0.37498136645962726</v>
      </c>
      <c r="R20" s="43">
        <f t="shared" si="1"/>
        <v>0.39320962732919246</v>
      </c>
      <c r="S20" s="43">
        <f>AVERAGE(R20,T20)</f>
        <v>0.61817468944099374</v>
      </c>
      <c r="T20" s="43">
        <f>47.63/(16.77+47.63)*T18</f>
        <v>0.84313975155279497</v>
      </c>
      <c r="U20" s="43">
        <f t="shared" ref="U20:Y20" si="2">47.63/(16.77+47.63)*U18</f>
        <v>0.73220031055900614</v>
      </c>
      <c r="V20" s="43">
        <f t="shared" si="2"/>
        <v>0.63605279503105583</v>
      </c>
      <c r="W20" s="43">
        <f t="shared" si="2"/>
        <v>0.62865683229813663</v>
      </c>
      <c r="X20" s="43">
        <f t="shared" si="2"/>
        <v>0.59167701863354039</v>
      </c>
      <c r="Y20" s="43">
        <f t="shared" si="2"/>
        <v>0.5177173913043478</v>
      </c>
      <c r="Z20" s="50" t="s">
        <v>15</v>
      </c>
      <c r="AA20" s="51" t="s">
        <v>185</v>
      </c>
      <c r="AB20" s="52" t="s">
        <v>299</v>
      </c>
    </row>
    <row r="21" spans="1:32" s="33" customFormat="1" ht="12.85" customHeight="1"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50"/>
      <c r="AA21" s="51"/>
      <c r="AB21" s="52"/>
    </row>
    <row r="22" spans="1:32" ht="12.85" customHeight="1"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53"/>
      <c r="AA22" s="54"/>
      <c r="AB22" s="28"/>
    </row>
    <row r="23" spans="1:32" s="38" customFormat="1" ht="12.85" customHeight="1">
      <c r="A23" s="38">
        <v>660</v>
      </c>
      <c r="B23" s="44">
        <v>-999</v>
      </c>
      <c r="C23" s="44">
        <v>-999</v>
      </c>
      <c r="D23" s="44">
        <v>-999</v>
      </c>
      <c r="E23" s="44">
        <v>-999</v>
      </c>
      <c r="F23" s="44">
        <v>-999</v>
      </c>
      <c r="G23" s="44">
        <v>-999</v>
      </c>
      <c r="H23" s="44">
        <v>-999</v>
      </c>
      <c r="I23" s="44">
        <v>-999</v>
      </c>
      <c r="J23" s="44">
        <v>-999</v>
      </c>
      <c r="K23" s="44">
        <v>-999</v>
      </c>
      <c r="L23" s="44">
        <v>-999</v>
      </c>
      <c r="M23" s="44">
        <v>-999</v>
      </c>
      <c r="N23" s="44">
        <v>-999</v>
      </c>
      <c r="O23" s="44">
        <v>-999</v>
      </c>
      <c r="P23" s="44">
        <v>-999</v>
      </c>
      <c r="Q23" s="44">
        <v>-999</v>
      </c>
      <c r="R23" s="44">
        <v>-999</v>
      </c>
      <c r="S23" s="44">
        <v>-999</v>
      </c>
      <c r="T23" s="44">
        <v>-999</v>
      </c>
      <c r="U23" s="44">
        <v>-999</v>
      </c>
      <c r="V23" s="44">
        <v>-999</v>
      </c>
      <c r="W23" s="44">
        <v>-999</v>
      </c>
      <c r="X23" s="44">
        <v>-999</v>
      </c>
      <c r="Y23" s="44">
        <v>-999</v>
      </c>
      <c r="Z23" s="55" t="s">
        <v>15</v>
      </c>
      <c r="AA23" s="56" t="s">
        <v>286</v>
      </c>
      <c r="AB23" s="57" t="s">
        <v>277</v>
      </c>
    </row>
    <row r="24" spans="1:32" s="38" customFormat="1" ht="12.85" customHeight="1">
      <c r="A24" s="38">
        <v>661</v>
      </c>
      <c r="B24" s="44">
        <v>0.56999999999999995</v>
      </c>
      <c r="C24" s="44">
        <v>0.45</v>
      </c>
      <c r="D24" s="44">
        <v>0.43</v>
      </c>
      <c r="E24" s="44">
        <v>0.4</v>
      </c>
      <c r="F24" s="44">
        <v>0.4</v>
      </c>
      <c r="G24" s="44">
        <v>0.45</v>
      </c>
      <c r="H24" s="44">
        <v>0.71</v>
      </c>
      <c r="I24" s="44">
        <v>1.2</v>
      </c>
      <c r="J24" s="44">
        <v>1.44</v>
      </c>
      <c r="K24" s="44">
        <v>1.29</v>
      </c>
      <c r="L24" s="44">
        <v>1.28</v>
      </c>
      <c r="M24" s="44">
        <v>1.31</v>
      </c>
      <c r="N24" s="44">
        <v>1.3</v>
      </c>
      <c r="O24" s="44">
        <v>1.32</v>
      </c>
      <c r="P24" s="44">
        <v>1.35</v>
      </c>
      <c r="Q24" s="44">
        <v>1.44</v>
      </c>
      <c r="R24" s="44">
        <v>1.51</v>
      </c>
      <c r="S24" s="44">
        <v>1.41</v>
      </c>
      <c r="T24" s="44">
        <v>1.1399999999999999</v>
      </c>
      <c r="U24" s="44">
        <v>0.99</v>
      </c>
      <c r="V24" s="44">
        <v>0.86</v>
      </c>
      <c r="W24" s="44">
        <v>0.85</v>
      </c>
      <c r="X24" s="44">
        <v>0.8</v>
      </c>
      <c r="Y24" s="44">
        <v>0.7</v>
      </c>
      <c r="Z24" s="55" t="s">
        <v>15</v>
      </c>
      <c r="AA24" s="56" t="s">
        <v>286</v>
      </c>
      <c r="AB24" s="57" t="s">
        <v>187</v>
      </c>
    </row>
    <row r="25" spans="1:32" s="38" customFormat="1" ht="12.85" customHeight="1">
      <c r="A25" s="38">
        <v>662</v>
      </c>
      <c r="B25" s="44">
        <v>0.65</v>
      </c>
      <c r="C25" s="44">
        <v>0.49</v>
      </c>
      <c r="D25" s="44">
        <v>0.46</v>
      </c>
      <c r="E25" s="44">
        <v>0.47</v>
      </c>
      <c r="F25" s="44">
        <v>0.47</v>
      </c>
      <c r="G25" s="44">
        <v>0.53</v>
      </c>
      <c r="H25" s="44">
        <v>0.7</v>
      </c>
      <c r="I25" s="44">
        <v>1.1299999999999999</v>
      </c>
      <c r="J25" s="44">
        <v>1.37</v>
      </c>
      <c r="K25" s="44">
        <v>1.37</v>
      </c>
      <c r="L25" s="44">
        <v>1.3</v>
      </c>
      <c r="M25" s="44">
        <v>1.37</v>
      </c>
      <c r="N25" s="44">
        <v>1.33</v>
      </c>
      <c r="O25" s="44">
        <v>1.3</v>
      </c>
      <c r="P25" s="44">
        <v>1.27</v>
      </c>
      <c r="Q25" s="44">
        <v>1.36</v>
      </c>
      <c r="R25" s="44">
        <v>1.44</v>
      </c>
      <c r="S25" s="44">
        <v>1.3</v>
      </c>
      <c r="T25" s="44">
        <v>1.1000000000000001</v>
      </c>
      <c r="U25" s="44">
        <v>0.98</v>
      </c>
      <c r="V25" s="44">
        <v>0.84</v>
      </c>
      <c r="W25" s="44">
        <v>0.9</v>
      </c>
      <c r="X25" s="44">
        <v>0.87</v>
      </c>
      <c r="Y25" s="44">
        <v>0.74</v>
      </c>
      <c r="Z25" s="55" t="s">
        <v>15</v>
      </c>
      <c r="AA25" s="56" t="s">
        <v>286</v>
      </c>
      <c r="AB25" s="57" t="s">
        <v>188</v>
      </c>
    </row>
    <row r="26" spans="1:32" ht="12.85" customHeight="1">
      <c r="A26" s="27">
        <v>-9</v>
      </c>
      <c r="B26" s="58"/>
    </row>
    <row r="27" spans="1:32" ht="12.85" customHeight="1">
      <c r="A27" s="27">
        <v>-9</v>
      </c>
    </row>
    <row r="28" spans="1:32" ht="12.85" customHeight="1">
      <c r="C28" s="45"/>
      <c r="J28" s="9"/>
      <c r="K28" s="9"/>
    </row>
    <row r="29" spans="1:32" ht="12.85" customHeight="1">
      <c r="C29" s="45"/>
      <c r="J29" s="9"/>
      <c r="K29" s="9"/>
    </row>
    <row r="30" spans="1:32" ht="12.85" customHeight="1">
      <c r="C30" s="45"/>
      <c r="J30" s="9"/>
      <c r="K30" s="9"/>
    </row>
    <row r="31" spans="1:32" ht="12.85" customHeight="1">
      <c r="C31" s="45"/>
      <c r="J31" s="9"/>
      <c r="K31" s="9"/>
    </row>
    <row r="32" spans="1:32" ht="12.85" customHeight="1">
      <c r="C32" s="45"/>
      <c r="J32" s="48"/>
      <c r="K32" s="59"/>
    </row>
    <row r="33" spans="3:11" ht="12.85" customHeight="1">
      <c r="C33" s="45"/>
      <c r="J33" s="48"/>
      <c r="K33" s="59"/>
    </row>
    <row r="34" spans="3:11" ht="12.85" customHeight="1">
      <c r="C34" s="45"/>
      <c r="J34" s="48"/>
    </row>
    <row r="35" spans="3:11" ht="12.85" customHeight="1">
      <c r="C35" s="45"/>
      <c r="J35" s="48"/>
      <c r="K35" s="28"/>
    </row>
    <row r="36" spans="3:11" ht="12.85" customHeight="1">
      <c r="C36" s="45"/>
    </row>
    <row r="37" spans="3:11" ht="12.85" customHeight="1">
      <c r="C37" s="45"/>
    </row>
    <row r="38" spans="3:11" ht="12.85" customHeight="1">
      <c r="C38" s="45"/>
    </row>
    <row r="39" spans="3:11" ht="12.85" customHeight="1">
      <c r="C39" s="45"/>
    </row>
    <row r="40" spans="3:11" ht="12.85" customHeight="1">
      <c r="C40" s="45"/>
    </row>
    <row r="41" spans="3:11" ht="12.85" customHeight="1">
      <c r="C41" s="45"/>
    </row>
    <row r="42" spans="3:11" ht="12.85" customHeight="1">
      <c r="C42" s="45"/>
    </row>
    <row r="43" spans="3:11" ht="12.85" customHeight="1">
      <c r="C43" s="45"/>
    </row>
    <row r="44" spans="3:11" ht="12.85" customHeight="1">
      <c r="C44" s="45"/>
    </row>
    <row r="45" spans="3:11" ht="12.85" customHeight="1">
      <c r="C45" s="45"/>
    </row>
    <row r="46" spans="3:11" ht="12.85" customHeight="1">
      <c r="C46" s="45"/>
    </row>
    <row r="47" spans="3:11" ht="12.85" customHeight="1">
      <c r="C47" s="45"/>
    </row>
    <row r="48" spans="3:11" ht="12.85" customHeight="1">
      <c r="C48" s="45"/>
    </row>
    <row r="49" spans="3:3" ht="12.85" customHeight="1">
      <c r="C49" s="46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28"/>
  <sheetViews>
    <sheetView workbookViewId="0">
      <selection activeCell="C31" sqref="C31"/>
    </sheetView>
  </sheetViews>
  <sheetFormatPr defaultColWidth="9.09765625" defaultRowHeight="13.25"/>
  <cols>
    <col min="1" max="1" width="9.09765625" style="2" customWidth="1"/>
    <col min="2" max="8" width="7.69921875" style="2" customWidth="1"/>
    <col min="9" max="10" width="10.296875" style="2" customWidth="1"/>
    <col min="11" max="11" width="2.3984375" style="2" customWidth="1"/>
    <col min="12" max="16384" width="9.09765625" style="2"/>
  </cols>
  <sheetData>
    <row r="1" spans="1:13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</row>
    <row r="2" spans="1:13">
      <c r="A2" s="2" t="s">
        <v>1</v>
      </c>
      <c r="B2" s="2" t="s">
        <v>167</v>
      </c>
      <c r="C2" s="2" t="s">
        <v>285</v>
      </c>
      <c r="D2" s="2" t="s">
        <v>168</v>
      </c>
      <c r="E2" s="2" t="s">
        <v>169</v>
      </c>
      <c r="F2" s="2" t="s">
        <v>170</v>
      </c>
      <c r="G2" s="2" t="s">
        <v>171</v>
      </c>
      <c r="H2" s="2" t="s">
        <v>172</v>
      </c>
      <c r="I2" s="2" t="s">
        <v>173</v>
      </c>
      <c r="J2" s="2" t="s">
        <v>174</v>
      </c>
      <c r="K2" s="2" t="s">
        <v>15</v>
      </c>
    </row>
    <row r="3" spans="1:13">
      <c r="A3" s="2">
        <v>10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1</v>
      </c>
      <c r="J3" s="2">
        <v>0</v>
      </c>
      <c r="K3" s="2" t="s">
        <v>15</v>
      </c>
      <c r="L3" s="2" t="s">
        <v>78</v>
      </c>
      <c r="M3" s="2" t="s">
        <v>290</v>
      </c>
    </row>
    <row r="4" spans="1:13">
      <c r="A4" s="2">
        <v>20</v>
      </c>
      <c r="B4" s="2">
        <v>0.06</v>
      </c>
      <c r="C4" s="2">
        <v>0</v>
      </c>
      <c r="D4" s="2">
        <v>0.01</v>
      </c>
      <c r="E4" s="2">
        <v>0.01</v>
      </c>
      <c r="F4" s="2">
        <v>0.01</v>
      </c>
      <c r="G4" s="2">
        <v>0.01</v>
      </c>
      <c r="H4" s="2">
        <v>0</v>
      </c>
      <c r="I4" s="2">
        <v>0.9</v>
      </c>
      <c r="J4" s="2">
        <v>0</v>
      </c>
      <c r="K4" s="2" t="s">
        <v>15</v>
      </c>
      <c r="L4" s="2" t="s">
        <v>79</v>
      </c>
      <c r="M4" s="2" t="s">
        <v>290</v>
      </c>
    </row>
    <row r="5" spans="1:13">
      <c r="A5" s="2">
        <v>30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1</v>
      </c>
      <c r="K5" s="2" t="s">
        <v>15</v>
      </c>
      <c r="L5" s="2" t="s">
        <v>177</v>
      </c>
      <c r="M5" s="2" t="s">
        <v>290</v>
      </c>
    </row>
    <row r="6" spans="1:13">
      <c r="A6" s="2">
        <v>40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1</v>
      </c>
      <c r="K6" s="2" t="s">
        <v>15</v>
      </c>
      <c r="L6" s="2" t="s">
        <v>80</v>
      </c>
      <c r="M6" s="2" t="s">
        <v>290</v>
      </c>
    </row>
    <row r="7" spans="1:13">
      <c r="A7" s="2">
        <v>50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1</v>
      </c>
      <c r="K7" s="2" t="s">
        <v>15</v>
      </c>
      <c r="L7" s="2" t="s">
        <v>70</v>
      </c>
      <c r="M7" s="2" t="s">
        <v>290</v>
      </c>
    </row>
    <row r="8" spans="1:13">
      <c r="A8" s="2">
        <v>60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1</v>
      </c>
      <c r="K8" s="2" t="s">
        <v>15</v>
      </c>
      <c r="L8" s="2" t="s">
        <v>83</v>
      </c>
      <c r="M8" s="2" t="s">
        <v>290</v>
      </c>
    </row>
    <row r="9" spans="1:13">
      <c r="A9" s="2">
        <v>70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 t="s">
        <v>15</v>
      </c>
      <c r="L9" s="2" t="s">
        <v>36</v>
      </c>
      <c r="M9" s="2" t="s">
        <v>290</v>
      </c>
    </row>
    <row r="10" spans="1:13">
      <c r="A10" s="2">
        <v>21</v>
      </c>
      <c r="B10" s="2">
        <v>0.03</v>
      </c>
      <c r="C10" s="2">
        <v>0</v>
      </c>
      <c r="D10" s="2">
        <v>0.01</v>
      </c>
      <c r="E10" s="2">
        <v>0.01</v>
      </c>
      <c r="F10" s="2">
        <v>0.01</v>
      </c>
      <c r="G10" s="2">
        <v>0.01</v>
      </c>
      <c r="H10" s="2">
        <v>0</v>
      </c>
      <c r="I10" s="2">
        <v>0.93</v>
      </c>
      <c r="J10" s="2">
        <v>0</v>
      </c>
      <c r="K10" s="2" t="s">
        <v>15</v>
      </c>
      <c r="L10" s="2" t="s">
        <v>79</v>
      </c>
      <c r="M10" s="2" t="s">
        <v>290</v>
      </c>
    </row>
    <row r="12" spans="1:13" s="3" customFormat="1">
      <c r="A12" s="3">
        <v>551</v>
      </c>
      <c r="B12" s="3">
        <v>0</v>
      </c>
      <c r="C12" s="3">
        <v>0</v>
      </c>
      <c r="D12" s="3">
        <v>0</v>
      </c>
      <c r="E12" s="3">
        <v>0</v>
      </c>
      <c r="F12" s="3">
        <v>0.02</v>
      </c>
      <c r="G12" s="3">
        <v>0</v>
      </c>
      <c r="H12" s="3">
        <v>0</v>
      </c>
      <c r="I12" s="3">
        <v>0.98</v>
      </c>
      <c r="J12" s="3">
        <v>0</v>
      </c>
      <c r="K12" s="3" t="s">
        <v>15</v>
      </c>
      <c r="L12" s="3" t="s">
        <v>78</v>
      </c>
      <c r="M12" s="3" t="s">
        <v>185</v>
      </c>
    </row>
    <row r="13" spans="1:13" s="3" customFormat="1">
      <c r="A13" s="3">
        <v>552</v>
      </c>
      <c r="B13" s="3">
        <v>0.08</v>
      </c>
      <c r="C13" s="3">
        <v>0</v>
      </c>
      <c r="D13" s="3">
        <v>0</v>
      </c>
      <c r="E13" s="3">
        <v>0</v>
      </c>
      <c r="F13" s="3">
        <v>0.02</v>
      </c>
      <c r="G13" s="3">
        <v>0</v>
      </c>
      <c r="H13" s="3">
        <v>0</v>
      </c>
      <c r="I13" s="3">
        <v>0.9</v>
      </c>
      <c r="J13" s="3">
        <v>0</v>
      </c>
      <c r="K13" s="3" t="s">
        <v>15</v>
      </c>
      <c r="L13" s="3" t="s">
        <v>284</v>
      </c>
      <c r="M13" s="3" t="s">
        <v>185</v>
      </c>
    </row>
    <row r="14" spans="1:13" s="3" customFormat="1">
      <c r="A14" s="3">
        <v>553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1</v>
      </c>
      <c r="K14" s="3" t="s">
        <v>15</v>
      </c>
      <c r="L14" s="3" t="s">
        <v>81</v>
      </c>
      <c r="M14" s="3" t="s">
        <v>185</v>
      </c>
    </row>
    <row r="15" spans="1:13" s="3" customFormat="1">
      <c r="A15" s="3">
        <v>554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0</v>
      </c>
      <c r="J15" s="3">
        <v>1</v>
      </c>
      <c r="K15" s="3" t="s">
        <v>15</v>
      </c>
      <c r="L15" s="3" t="s">
        <v>82</v>
      </c>
      <c r="M15" s="3" t="s">
        <v>185</v>
      </c>
    </row>
    <row r="16" spans="1:13" s="3" customFormat="1">
      <c r="A16" s="3">
        <v>555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</v>
      </c>
      <c r="K16" s="3" t="s">
        <v>15</v>
      </c>
      <c r="L16" s="3" t="s">
        <v>70</v>
      </c>
      <c r="M16" s="3" t="s">
        <v>185</v>
      </c>
    </row>
    <row r="17" spans="1:14" s="3" customFormat="1">
      <c r="A17" s="3">
        <v>556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1</v>
      </c>
      <c r="K17" s="3" t="s">
        <v>15</v>
      </c>
      <c r="L17" s="3" t="s">
        <v>93</v>
      </c>
      <c r="M17" s="3" t="s">
        <v>185</v>
      </c>
    </row>
    <row r="18" spans="1:14" s="3" customFormat="1">
      <c r="A18" s="3">
        <v>557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 t="s">
        <v>15</v>
      </c>
      <c r="L18" s="3" t="s">
        <v>36</v>
      </c>
      <c r="M18" s="3" t="s">
        <v>185</v>
      </c>
      <c r="N18" s="3" t="s">
        <v>189</v>
      </c>
    </row>
    <row r="19" spans="1:14" s="15" customFormat="1"/>
    <row r="20" spans="1:14" s="5" customFormat="1">
      <c r="A20" s="5">
        <v>661</v>
      </c>
      <c r="B20" s="5">
        <v>0</v>
      </c>
      <c r="C20" s="5">
        <v>0</v>
      </c>
      <c r="D20" s="5">
        <v>0</v>
      </c>
      <c r="E20" s="5">
        <v>0</v>
      </c>
      <c r="F20" s="5">
        <v>0.02</v>
      </c>
      <c r="G20" s="5">
        <v>0</v>
      </c>
      <c r="H20" s="5">
        <v>0</v>
      </c>
      <c r="I20" s="5">
        <v>0.98</v>
      </c>
      <c r="J20" s="5">
        <v>0</v>
      </c>
      <c r="K20" s="5" t="s">
        <v>15</v>
      </c>
      <c r="L20" s="5" t="s">
        <v>78</v>
      </c>
      <c r="M20" s="5" t="s">
        <v>286</v>
      </c>
    </row>
    <row r="21" spans="1:14" s="5" customFormat="1">
      <c r="A21" s="5">
        <v>662</v>
      </c>
      <c r="B21" s="5">
        <v>0.1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0.9</v>
      </c>
      <c r="J21" s="5">
        <v>0</v>
      </c>
      <c r="K21" s="5" t="s">
        <v>15</v>
      </c>
      <c r="L21" s="5" t="s">
        <v>284</v>
      </c>
      <c r="M21" s="5" t="s">
        <v>286</v>
      </c>
    </row>
    <row r="22" spans="1:14" s="5" customFormat="1">
      <c r="A22" s="5">
        <v>663</v>
      </c>
      <c r="B22" s="5">
        <v>0.1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0.9</v>
      </c>
      <c r="K22" s="5" t="s">
        <v>15</v>
      </c>
      <c r="L22" s="5" t="s">
        <v>81</v>
      </c>
      <c r="M22" s="5" t="s">
        <v>286</v>
      </c>
      <c r="N22" s="5" t="s">
        <v>189</v>
      </c>
    </row>
    <row r="23" spans="1:14" s="5" customFormat="1">
      <c r="A23" s="5">
        <v>664</v>
      </c>
      <c r="B23" s="5">
        <v>0.1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0.9</v>
      </c>
      <c r="K23" s="5" t="s">
        <v>15</v>
      </c>
      <c r="L23" s="5" t="s">
        <v>82</v>
      </c>
      <c r="M23" s="5" t="s">
        <v>286</v>
      </c>
    </row>
    <row r="24" spans="1:14" s="5" customFormat="1">
      <c r="A24" s="5">
        <v>665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1</v>
      </c>
      <c r="K24" s="5" t="s">
        <v>15</v>
      </c>
      <c r="L24" s="5" t="s">
        <v>70</v>
      </c>
      <c r="M24" s="5" t="s">
        <v>286</v>
      </c>
    </row>
    <row r="25" spans="1:14" s="5" customFormat="1">
      <c r="A25" s="5">
        <v>666</v>
      </c>
      <c r="B25" s="5">
        <v>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1</v>
      </c>
      <c r="K25" s="5" t="s">
        <v>15</v>
      </c>
      <c r="L25" s="5" t="s">
        <v>93</v>
      </c>
      <c r="M25" s="5" t="s">
        <v>286</v>
      </c>
      <c r="N25" s="5" t="s">
        <v>189</v>
      </c>
    </row>
    <row r="26" spans="1:14" s="5" customFormat="1">
      <c r="A26" s="5">
        <v>667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 t="s">
        <v>15</v>
      </c>
      <c r="L26" s="5" t="s">
        <v>36</v>
      </c>
      <c r="M26" s="5" t="s">
        <v>286</v>
      </c>
    </row>
    <row r="27" spans="1:14">
      <c r="A27" s="2">
        <v>-9</v>
      </c>
    </row>
    <row r="28" spans="1:14">
      <c r="A28" s="2">
        <v>-9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75"/>
  <sheetViews>
    <sheetView workbookViewId="0"/>
  </sheetViews>
  <sheetFormatPr defaultColWidth="9.09765625" defaultRowHeight="13.25"/>
  <cols>
    <col min="1" max="5" width="9.09765625" style="2"/>
    <col min="6" max="6" width="94.59765625" style="2" bestFit="1" customWidth="1"/>
    <col min="7" max="7" width="28.8984375" style="2" bestFit="1" customWidth="1"/>
    <col min="8" max="16384" width="9.09765625" style="2"/>
  </cols>
  <sheetData>
    <row r="1" spans="1:8">
      <c r="A1" s="2">
        <v>1</v>
      </c>
      <c r="B1" s="2">
        <v>2</v>
      </c>
      <c r="C1" s="2">
        <v>3</v>
      </c>
      <c r="D1" s="2">
        <v>4</v>
      </c>
    </row>
    <row r="2" spans="1:8">
      <c r="A2" s="2" t="s">
        <v>1</v>
      </c>
      <c r="B2" s="2" t="s">
        <v>67</v>
      </c>
      <c r="C2" s="2" t="s">
        <v>68</v>
      </c>
      <c r="D2" s="2" t="s">
        <v>69</v>
      </c>
      <c r="E2" s="2" t="s">
        <v>15</v>
      </c>
      <c r="F2" s="2" t="s">
        <v>191</v>
      </c>
      <c r="G2" s="2" t="s">
        <v>192</v>
      </c>
      <c r="H2" s="2" t="s">
        <v>193</v>
      </c>
    </row>
    <row r="3" spans="1:8">
      <c r="A3" s="2">
        <v>10</v>
      </c>
      <c r="B3" s="2">
        <v>0.71</v>
      </c>
      <c r="C3" s="2">
        <v>0.04</v>
      </c>
      <c r="D3" s="2">
        <v>-39.700000000000003</v>
      </c>
      <c r="E3" s="2" t="s">
        <v>15</v>
      </c>
      <c r="F3" s="2" t="s">
        <v>194</v>
      </c>
      <c r="G3" s="2" t="s">
        <v>195</v>
      </c>
    </row>
    <row r="4" spans="1:8">
      <c r="A4" s="2">
        <v>11</v>
      </c>
      <c r="B4" s="2">
        <v>0.32</v>
      </c>
      <c r="C4" s="2">
        <v>0.01</v>
      </c>
      <c r="D4" s="2">
        <v>-27.7</v>
      </c>
      <c r="E4" s="2" t="s">
        <v>15</v>
      </c>
      <c r="F4" s="2" t="s">
        <v>196</v>
      </c>
      <c r="G4" s="2" t="s">
        <v>197</v>
      </c>
    </row>
    <row r="5" spans="1:8">
      <c r="A5" s="2">
        <v>100</v>
      </c>
      <c r="B5" s="2">
        <v>0.51500000000000001</v>
      </c>
      <c r="C5" s="2">
        <v>2.5000000000000001E-2</v>
      </c>
      <c r="D5" s="2">
        <v>-33.700000000000003</v>
      </c>
      <c r="E5" s="2" t="s">
        <v>15</v>
      </c>
      <c r="F5" s="2" t="s">
        <v>198</v>
      </c>
    </row>
    <row r="6" spans="1:8">
      <c r="A6" s="2">
        <v>200</v>
      </c>
      <c r="B6" s="2">
        <v>0.33600000000000002</v>
      </c>
      <c r="C6" s="2">
        <v>0.313</v>
      </c>
      <c r="D6" s="2">
        <v>-31.4</v>
      </c>
      <c r="E6" s="2" t="s">
        <v>15</v>
      </c>
      <c r="F6" s="2" t="s">
        <v>300</v>
      </c>
    </row>
    <row r="7" spans="1:8" s="61" customFormat="1">
      <c r="A7" s="61">
        <v>201</v>
      </c>
      <c r="B7" s="61">
        <v>0.215</v>
      </c>
      <c r="C7" s="61">
        <v>0.32500000000000001</v>
      </c>
      <c r="D7" s="61">
        <v>-19.850000000000001</v>
      </c>
      <c r="E7" s="61" t="s">
        <v>15</v>
      </c>
      <c r="F7" s="61" t="s">
        <v>301</v>
      </c>
    </row>
    <row r="8" spans="1:8" s="15" customFormat="1">
      <c r="A8" s="15">
        <v>2011</v>
      </c>
      <c r="B8" s="62">
        <v>0.22968450000000001</v>
      </c>
      <c r="C8" s="62">
        <v>0.27599000000000001</v>
      </c>
      <c r="D8" s="63">
        <v>-16.910215000000001</v>
      </c>
      <c r="E8" s="15" t="s">
        <v>15</v>
      </c>
      <c r="F8" s="15" t="s">
        <v>302</v>
      </c>
    </row>
    <row r="9" spans="1:8" s="15" customFormat="1">
      <c r="A9" s="15">
        <v>2012</v>
      </c>
      <c r="B9" s="62">
        <v>0.26974147680000005</v>
      </c>
      <c r="C9" s="62">
        <v>-0.434822245</v>
      </c>
      <c r="D9" s="63">
        <v>6.6237312155000003</v>
      </c>
      <c r="E9" s="15" t="s">
        <v>15</v>
      </c>
      <c r="F9" s="15" t="s">
        <v>303</v>
      </c>
    </row>
    <row r="10" spans="1:8">
      <c r="A10" s="2">
        <v>20</v>
      </c>
      <c r="B10" s="2">
        <v>0.11</v>
      </c>
      <c r="C10" s="2">
        <v>0.11</v>
      </c>
      <c r="D10" s="2">
        <v>-12.3</v>
      </c>
      <c r="E10" s="2" t="s">
        <v>15</v>
      </c>
      <c r="F10" s="2" t="s">
        <v>199</v>
      </c>
      <c r="G10" s="2" t="s">
        <v>200</v>
      </c>
    </row>
    <row r="11" spans="1:8">
      <c r="A11" s="2">
        <v>30</v>
      </c>
      <c r="B11" s="2">
        <v>0.32</v>
      </c>
      <c r="C11" s="2">
        <v>0.54</v>
      </c>
      <c r="D11" s="2">
        <v>-27.4</v>
      </c>
      <c r="E11" s="2" t="s">
        <v>15</v>
      </c>
      <c r="F11" s="2" t="s">
        <v>201</v>
      </c>
      <c r="G11" s="2" t="s">
        <v>202</v>
      </c>
    </row>
    <row r="12" spans="1:8">
      <c r="A12" s="2">
        <v>50</v>
      </c>
      <c r="B12" s="2">
        <v>0.38</v>
      </c>
      <c r="C12" s="2">
        <v>0.56000000000000005</v>
      </c>
      <c r="D12" s="2">
        <v>-27.3</v>
      </c>
      <c r="E12" s="2" t="s">
        <v>15</v>
      </c>
      <c r="F12" s="2" t="s">
        <v>203</v>
      </c>
      <c r="G12" s="2" t="s">
        <v>204</v>
      </c>
    </row>
    <row r="13" spans="1:8">
      <c r="A13" s="2">
        <v>51</v>
      </c>
      <c r="B13" s="2">
        <v>0.33</v>
      </c>
      <c r="C13" s="2">
        <v>7.0000000000000007E-2</v>
      </c>
      <c r="D13" s="2">
        <v>-34.9</v>
      </c>
      <c r="E13" s="2" t="s">
        <v>15</v>
      </c>
      <c r="F13" s="2" t="s">
        <v>205</v>
      </c>
      <c r="G13" s="2" t="s">
        <v>206</v>
      </c>
    </row>
    <row r="14" spans="1:8">
      <c r="A14" s="2">
        <v>52</v>
      </c>
      <c r="B14" s="2">
        <v>0.35</v>
      </c>
      <c r="C14" s="2">
        <v>0.43</v>
      </c>
      <c r="D14" s="2">
        <v>-36.5</v>
      </c>
      <c r="E14" s="2" t="s">
        <v>15</v>
      </c>
      <c r="F14" s="2" t="s">
        <v>207</v>
      </c>
      <c r="G14" s="2" t="s">
        <v>206</v>
      </c>
    </row>
    <row r="15" spans="1:8">
      <c r="A15" s="2">
        <v>53</v>
      </c>
      <c r="B15" s="2">
        <v>0.36</v>
      </c>
      <c r="C15" s="2">
        <v>0.27</v>
      </c>
      <c r="D15" s="2">
        <v>-42.4</v>
      </c>
      <c r="E15" s="2" t="s">
        <v>15</v>
      </c>
      <c r="F15" s="2" t="s">
        <v>203</v>
      </c>
      <c r="G15" s="2" t="s">
        <v>208</v>
      </c>
    </row>
    <row r="16" spans="1:8" s="61" customFormat="1">
      <c r="A16" s="61">
        <v>55</v>
      </c>
      <c r="B16" s="61">
        <v>0.35499999999999998</v>
      </c>
      <c r="C16" s="61">
        <v>0.33500000000000002</v>
      </c>
      <c r="D16" s="61">
        <v>-35.274999999999999</v>
      </c>
      <c r="E16" s="61" t="s">
        <v>15</v>
      </c>
      <c r="F16" s="61" t="s">
        <v>304</v>
      </c>
    </row>
    <row r="17" spans="1:7">
      <c r="A17" s="2">
        <v>551</v>
      </c>
      <c r="B17" s="62">
        <v>0.37924649999999999</v>
      </c>
      <c r="C17" s="62">
        <v>0.28448200000000001</v>
      </c>
      <c r="D17" s="63">
        <v>-30.050772499999997</v>
      </c>
      <c r="E17" s="2" t="s">
        <v>15</v>
      </c>
      <c r="F17" s="2" t="s">
        <v>305</v>
      </c>
    </row>
    <row r="18" spans="1:7">
      <c r="A18" s="2">
        <v>552</v>
      </c>
      <c r="B18" s="62">
        <v>0.44538708960000001</v>
      </c>
      <c r="C18" s="62">
        <v>-0.448201391</v>
      </c>
      <c r="D18" s="63">
        <v>11.770887588249998</v>
      </c>
      <c r="E18" s="2" t="s">
        <v>15</v>
      </c>
      <c r="F18" s="2" t="s">
        <v>306</v>
      </c>
    </row>
    <row r="19" spans="1:7" s="61" customFormat="1">
      <c r="A19" s="61">
        <v>60</v>
      </c>
      <c r="B19" s="61">
        <v>0.5</v>
      </c>
      <c r="C19" s="61">
        <v>0.21</v>
      </c>
      <c r="D19" s="61">
        <v>-39.1</v>
      </c>
      <c r="E19" s="61" t="s">
        <v>15</v>
      </c>
      <c r="F19" s="61" t="s">
        <v>209</v>
      </c>
      <c r="G19" s="61" t="s">
        <v>210</v>
      </c>
    </row>
    <row r="20" spans="1:7">
      <c r="A20" s="2">
        <v>601</v>
      </c>
      <c r="B20" s="62">
        <v>0.53415000000000001</v>
      </c>
      <c r="C20" s="62">
        <v>0.17833199999999999</v>
      </c>
      <c r="D20" s="63">
        <v>-33.309290000000004</v>
      </c>
      <c r="E20" s="2" t="s">
        <v>15</v>
      </c>
      <c r="F20" s="2" t="s">
        <v>307</v>
      </c>
    </row>
    <row r="21" spans="1:7">
      <c r="A21" s="2">
        <v>602</v>
      </c>
      <c r="B21" s="62">
        <v>0.62730576000000005</v>
      </c>
      <c r="C21" s="62">
        <v>-0.28096206599999995</v>
      </c>
      <c r="D21" s="63">
        <v>13.047248893000001</v>
      </c>
      <c r="E21" s="2" t="s">
        <v>15</v>
      </c>
      <c r="F21" s="2" t="s">
        <v>308</v>
      </c>
    </row>
    <row r="22" spans="1:7">
      <c r="A22" s="2">
        <v>61</v>
      </c>
      <c r="B22" s="2">
        <v>0.25</v>
      </c>
      <c r="C22" s="2">
        <v>0.6</v>
      </c>
      <c r="D22" s="2">
        <v>-30</v>
      </c>
      <c r="E22" s="2" t="s">
        <v>15</v>
      </c>
      <c r="F22" s="2" t="s">
        <v>8</v>
      </c>
      <c r="G22" s="2" t="s">
        <v>211</v>
      </c>
    </row>
    <row r="23" spans="1:7">
      <c r="A23" s="2">
        <v>713</v>
      </c>
      <c r="B23" s="2">
        <v>0.17</v>
      </c>
      <c r="C23" s="2">
        <v>0.1</v>
      </c>
      <c r="D23" s="2">
        <v>-17</v>
      </c>
      <c r="E23" s="2" t="s">
        <v>15</v>
      </c>
      <c r="F23" s="2" t="s">
        <v>212</v>
      </c>
      <c r="G23" s="2" t="s">
        <v>71</v>
      </c>
    </row>
    <row r="24" spans="1:7">
      <c r="A24" s="2">
        <v>701</v>
      </c>
      <c r="B24" s="2">
        <v>0.3</v>
      </c>
      <c r="C24" s="2">
        <v>0.96</v>
      </c>
      <c r="D24" s="2">
        <v>-24</v>
      </c>
      <c r="E24" s="2" t="s">
        <v>15</v>
      </c>
      <c r="F24" s="2" t="s">
        <v>213</v>
      </c>
      <c r="G24" s="2" t="s">
        <v>214</v>
      </c>
    </row>
    <row r="25" spans="1:7">
      <c r="A25" s="2">
        <v>702</v>
      </c>
      <c r="B25" s="2">
        <v>0.26</v>
      </c>
      <c r="C25" s="2">
        <v>0.89</v>
      </c>
      <c r="D25" s="2">
        <v>-21</v>
      </c>
      <c r="E25" s="2" t="s">
        <v>15</v>
      </c>
      <c r="F25" s="2" t="s">
        <v>215</v>
      </c>
      <c r="G25" s="2" t="s">
        <v>214</v>
      </c>
    </row>
    <row r="26" spans="1:7">
      <c r="A26" s="2">
        <v>703</v>
      </c>
      <c r="B26" s="2">
        <v>0.23</v>
      </c>
      <c r="C26" s="2">
        <v>0.87</v>
      </c>
      <c r="D26" s="2">
        <v>-24</v>
      </c>
      <c r="E26" s="2" t="s">
        <v>15</v>
      </c>
      <c r="F26" s="2" t="s">
        <v>216</v>
      </c>
      <c r="G26" s="2" t="s">
        <v>214</v>
      </c>
    </row>
    <row r="27" spans="1:7">
      <c r="A27" s="2">
        <v>704</v>
      </c>
      <c r="B27" s="2">
        <v>0.23</v>
      </c>
      <c r="C27" s="2">
        <v>0.69</v>
      </c>
      <c r="D27" s="2">
        <v>-21</v>
      </c>
      <c r="E27" s="2" t="s">
        <v>15</v>
      </c>
      <c r="F27" s="2" t="s">
        <v>217</v>
      </c>
      <c r="G27" s="2" t="s">
        <v>214</v>
      </c>
    </row>
    <row r="28" spans="1:7">
      <c r="A28" s="2">
        <v>705</v>
      </c>
      <c r="B28" s="2">
        <v>0.06</v>
      </c>
      <c r="C28" s="2">
        <v>0.28000000000000003</v>
      </c>
      <c r="D28" s="2">
        <v>-3</v>
      </c>
      <c r="E28" s="2" t="s">
        <v>15</v>
      </c>
      <c r="F28" s="2" t="s">
        <v>218</v>
      </c>
      <c r="G28" s="2" t="s">
        <v>214</v>
      </c>
    </row>
    <row r="29" spans="1:7">
      <c r="A29" s="2">
        <v>706</v>
      </c>
      <c r="B29" s="2">
        <v>0.15</v>
      </c>
      <c r="C29" s="2">
        <v>0.28000000000000003</v>
      </c>
      <c r="D29" s="2">
        <v>-6</v>
      </c>
      <c r="E29" s="2" t="s">
        <v>15</v>
      </c>
      <c r="F29" s="2" t="s">
        <v>219</v>
      </c>
      <c r="G29" s="2" t="s">
        <v>214</v>
      </c>
    </row>
    <row r="30" spans="1:7">
      <c r="A30" s="2">
        <v>707</v>
      </c>
      <c r="B30" s="2">
        <v>0.12</v>
      </c>
      <c r="C30" s="2">
        <v>0.25</v>
      </c>
      <c r="D30" s="2">
        <v>-5</v>
      </c>
      <c r="E30" s="2" t="s">
        <v>15</v>
      </c>
      <c r="F30" s="2" t="s">
        <v>220</v>
      </c>
      <c r="G30" s="2" t="s">
        <v>214</v>
      </c>
    </row>
    <row r="31" spans="1:7">
      <c r="A31" s="2">
        <v>708</v>
      </c>
      <c r="B31" s="2">
        <v>0.1</v>
      </c>
      <c r="C31" s="2">
        <v>0.23</v>
      </c>
      <c r="D31" s="2">
        <v>-6</v>
      </c>
      <c r="E31" s="2" t="s">
        <v>15</v>
      </c>
      <c r="F31" s="2" t="s">
        <v>221</v>
      </c>
      <c r="G31" s="2" t="s">
        <v>214</v>
      </c>
    </row>
    <row r="32" spans="1:7">
      <c r="A32" s="2">
        <v>709</v>
      </c>
      <c r="B32" s="2">
        <v>0.09</v>
      </c>
      <c r="C32" s="2">
        <v>0.18</v>
      </c>
      <c r="D32" s="2">
        <v>-1</v>
      </c>
      <c r="E32" s="2" t="s">
        <v>15</v>
      </c>
      <c r="F32" s="2" t="s">
        <v>222</v>
      </c>
      <c r="G32" s="2" t="s">
        <v>214</v>
      </c>
    </row>
    <row r="33" spans="1:8">
      <c r="A33" s="2">
        <v>710</v>
      </c>
      <c r="B33" s="2">
        <v>7.0000000000000007E-2</v>
      </c>
      <c r="C33" s="2">
        <v>0.26</v>
      </c>
      <c r="D33" s="2">
        <v>-6</v>
      </c>
      <c r="E33" s="2" t="s">
        <v>15</v>
      </c>
      <c r="F33" s="2" t="s">
        <v>223</v>
      </c>
      <c r="G33" s="2" t="s">
        <v>214</v>
      </c>
    </row>
    <row r="34" spans="1:8">
      <c r="A34" s="2">
        <v>711</v>
      </c>
      <c r="B34" s="2">
        <v>0.06</v>
      </c>
      <c r="C34" s="2">
        <v>0.43</v>
      </c>
      <c r="D34" s="2">
        <v>-4</v>
      </c>
      <c r="E34" s="2" t="s">
        <v>15</v>
      </c>
      <c r="F34" s="2" t="s">
        <v>224</v>
      </c>
      <c r="G34" s="2" t="s">
        <v>214</v>
      </c>
    </row>
    <row r="35" spans="1:8">
      <c r="A35" s="2">
        <v>712</v>
      </c>
      <c r="B35" s="2">
        <v>7.0000000000000007E-2</v>
      </c>
      <c r="C35" s="2">
        <v>0.06</v>
      </c>
      <c r="D35" s="2">
        <v>-5</v>
      </c>
      <c r="E35" s="2" t="s">
        <v>15</v>
      </c>
      <c r="F35" s="2" t="s">
        <v>225</v>
      </c>
      <c r="G35" s="2" t="s">
        <v>214</v>
      </c>
    </row>
    <row r="36" spans="1:8">
      <c r="A36" s="2">
        <v>750</v>
      </c>
      <c r="B36" s="2">
        <v>0.19</v>
      </c>
      <c r="C36" s="2">
        <v>0.54</v>
      </c>
      <c r="D36" s="2">
        <v>-15.125</v>
      </c>
      <c r="E36" s="2" t="s">
        <v>15</v>
      </c>
      <c r="F36" s="2" t="s">
        <v>231</v>
      </c>
      <c r="G36" s="2" t="s">
        <v>211</v>
      </c>
    </row>
    <row r="37" spans="1:8">
      <c r="A37" s="2">
        <v>751</v>
      </c>
      <c r="B37" s="2">
        <v>0.12</v>
      </c>
      <c r="C37" s="2">
        <v>0.24</v>
      </c>
      <c r="D37" s="2">
        <v>-4.5</v>
      </c>
      <c r="E37" s="2" t="s">
        <v>15</v>
      </c>
      <c r="F37" s="2" t="s">
        <v>232</v>
      </c>
      <c r="G37" s="2" t="s">
        <v>211</v>
      </c>
    </row>
    <row r="38" spans="1:8">
      <c r="A38" s="2">
        <v>752</v>
      </c>
      <c r="B38" s="2">
        <v>0.26</v>
      </c>
      <c r="C38" s="2">
        <v>0.85</v>
      </c>
      <c r="D38" s="2">
        <v>-21.4</v>
      </c>
      <c r="E38" s="2" t="s">
        <v>15</v>
      </c>
      <c r="F38" s="2" t="s">
        <v>233</v>
      </c>
      <c r="G38" s="2" t="s">
        <v>211</v>
      </c>
    </row>
    <row r="39" spans="1:8">
      <c r="A39" s="2">
        <v>790</v>
      </c>
      <c r="B39" s="2">
        <v>0.44</v>
      </c>
      <c r="C39" s="2">
        <v>0.56999999999999995</v>
      </c>
      <c r="D39" s="2">
        <v>-28.9</v>
      </c>
      <c r="E39" s="2" t="s">
        <v>15</v>
      </c>
      <c r="F39" s="2" t="s">
        <v>226</v>
      </c>
      <c r="G39" s="2" t="s">
        <v>227</v>
      </c>
      <c r="H39" s="2" t="s">
        <v>73</v>
      </c>
    </row>
    <row r="40" spans="1:8">
      <c r="A40" s="2">
        <v>791</v>
      </c>
      <c r="B40" s="2">
        <v>0.82</v>
      </c>
      <c r="C40" s="2">
        <v>0.34</v>
      </c>
      <c r="D40" s="2">
        <v>-55.7</v>
      </c>
      <c r="E40" s="2" t="s">
        <v>15</v>
      </c>
      <c r="F40" s="2" t="s">
        <v>228</v>
      </c>
      <c r="G40" s="2" t="s">
        <v>229</v>
      </c>
      <c r="H40" s="2" t="s">
        <v>73</v>
      </c>
    </row>
    <row r="41" spans="1:8" s="61" customFormat="1">
      <c r="A41" s="61">
        <v>798</v>
      </c>
      <c r="B41" s="61">
        <v>0.47699999999999998</v>
      </c>
      <c r="C41" s="61">
        <v>0.33700000000000002</v>
      </c>
      <c r="D41" s="61">
        <v>-33.869999999999997</v>
      </c>
      <c r="E41" s="61" t="s">
        <v>15</v>
      </c>
      <c r="F41" s="61" t="s">
        <v>313</v>
      </c>
      <c r="G41" s="61" t="s">
        <v>314</v>
      </c>
    </row>
    <row r="42" spans="1:8" s="15" customFormat="1">
      <c r="A42" s="15">
        <v>7981</v>
      </c>
      <c r="B42" s="62">
        <v>0.50957909999999995</v>
      </c>
      <c r="C42" s="62">
        <v>0.2861804</v>
      </c>
      <c r="D42" s="63">
        <v>-28.853852999999997</v>
      </c>
      <c r="E42" s="15" t="s">
        <v>15</v>
      </c>
      <c r="F42" s="15" t="s">
        <v>315</v>
      </c>
    </row>
    <row r="43" spans="1:8" s="15" customFormat="1">
      <c r="A43" s="15">
        <v>7982</v>
      </c>
      <c r="B43" s="62">
        <v>0.59844969504000001</v>
      </c>
      <c r="C43" s="62">
        <v>-0.45087722019999998</v>
      </c>
      <c r="D43" s="63">
        <v>11.302054220099999</v>
      </c>
      <c r="E43" s="15" t="s">
        <v>15</v>
      </c>
      <c r="F43" s="15" t="s">
        <v>316</v>
      </c>
    </row>
    <row r="44" spans="1:8">
      <c r="A44" s="2">
        <v>799</v>
      </c>
      <c r="B44" s="2">
        <v>0.23799999999999999</v>
      </c>
      <c r="C44" s="2">
        <v>0.42699999999999999</v>
      </c>
      <c r="D44" s="2">
        <v>-16.7</v>
      </c>
      <c r="E44" s="2" t="s">
        <v>15</v>
      </c>
      <c r="F44" s="2" t="s">
        <v>230</v>
      </c>
    </row>
    <row r="45" spans="1:8">
      <c r="A45" s="2">
        <v>800</v>
      </c>
      <c r="B45" s="2">
        <v>0.71899999999999997</v>
      </c>
      <c r="C45" s="2">
        <v>0.19400000000000001</v>
      </c>
      <c r="D45" s="2">
        <v>-36.6</v>
      </c>
      <c r="E45" s="2" t="s">
        <v>15</v>
      </c>
      <c r="F45" s="2" t="s">
        <v>309</v>
      </c>
    </row>
    <row r="46" spans="1:8">
      <c r="A46" s="2">
        <v>801</v>
      </c>
      <c r="B46" s="2">
        <v>0.81</v>
      </c>
      <c r="C46" s="2">
        <v>0.1</v>
      </c>
      <c r="D46" s="2">
        <v>-79.900000000000006</v>
      </c>
      <c r="E46" s="2" t="s">
        <v>15</v>
      </c>
      <c r="F46" s="2" t="s">
        <v>74</v>
      </c>
      <c r="G46" s="2" t="s">
        <v>202</v>
      </c>
    </row>
    <row r="47" spans="1:8">
      <c r="A47" s="2">
        <v>802</v>
      </c>
      <c r="B47" s="2">
        <v>0.85</v>
      </c>
      <c r="C47" s="2">
        <v>0.32</v>
      </c>
      <c r="D47" s="2">
        <v>-28.5</v>
      </c>
      <c r="E47" s="2" t="s">
        <v>15</v>
      </c>
      <c r="F47" s="2" t="s">
        <v>74</v>
      </c>
      <c r="G47" s="2" t="s">
        <v>234</v>
      </c>
    </row>
    <row r="48" spans="1:8">
      <c r="A48" s="2">
        <v>901</v>
      </c>
      <c r="B48" s="2">
        <v>0.36</v>
      </c>
      <c r="C48" s="2">
        <v>0.23</v>
      </c>
      <c r="D48" s="2">
        <v>-19.3</v>
      </c>
      <c r="E48" s="2" t="s">
        <v>15</v>
      </c>
      <c r="F48" s="2" t="s">
        <v>72</v>
      </c>
      <c r="G48" s="2" t="s">
        <v>235</v>
      </c>
    </row>
    <row r="49" spans="1:7">
      <c r="A49" s="2">
        <v>902</v>
      </c>
      <c r="B49" s="2">
        <v>0.64</v>
      </c>
      <c r="C49" s="2">
        <v>0.32</v>
      </c>
      <c r="D49" s="2">
        <v>-43.6</v>
      </c>
      <c r="E49" s="2" t="s">
        <v>15</v>
      </c>
      <c r="F49" s="2" t="s">
        <v>72</v>
      </c>
      <c r="G49" s="2" t="s">
        <v>234</v>
      </c>
    </row>
    <row r="50" spans="1:7">
      <c r="A50" s="2">
        <v>903</v>
      </c>
      <c r="B50" s="2">
        <v>0.82</v>
      </c>
      <c r="C50" s="2">
        <v>0.68</v>
      </c>
      <c r="D50" s="2">
        <v>-20.100000000000001</v>
      </c>
      <c r="E50" s="2" t="s">
        <v>15</v>
      </c>
      <c r="F50" s="2" t="s">
        <v>310</v>
      </c>
      <c r="G50" s="2" t="s">
        <v>236</v>
      </c>
    </row>
    <row r="51" spans="1:7">
      <c r="A51" s="2">
        <v>905</v>
      </c>
      <c r="B51" s="2">
        <v>0.72</v>
      </c>
      <c r="C51" s="2">
        <v>0.54</v>
      </c>
      <c r="D51" s="2">
        <v>-40.200000000000003</v>
      </c>
      <c r="E51" s="2" t="s">
        <v>15</v>
      </c>
      <c r="F51" s="2" t="s">
        <v>312</v>
      </c>
      <c r="G51" s="2" t="s">
        <v>236</v>
      </c>
    </row>
    <row r="52" spans="1:7">
      <c r="A52" s="2">
        <v>906</v>
      </c>
      <c r="B52" s="2">
        <v>0.83</v>
      </c>
      <c r="C52" s="2">
        <v>-0.83</v>
      </c>
      <c r="D52" s="2">
        <v>-24.6</v>
      </c>
      <c r="E52" s="2" t="s">
        <v>15</v>
      </c>
      <c r="F52" s="2" t="s">
        <v>311</v>
      </c>
      <c r="G52" s="2" t="s">
        <v>236</v>
      </c>
    </row>
    <row r="53" spans="1:7">
      <c r="A53" s="2">
        <v>904</v>
      </c>
      <c r="B53" s="2">
        <v>0.80500000000000005</v>
      </c>
      <c r="C53" s="2">
        <v>-0.193</v>
      </c>
      <c r="D53" s="2">
        <v>-9.39</v>
      </c>
      <c r="E53" s="2" t="s">
        <v>15</v>
      </c>
      <c r="F53" s="2" t="s">
        <v>318</v>
      </c>
    </row>
    <row r="54" spans="1:7">
      <c r="A54" s="2">
        <v>907</v>
      </c>
      <c r="B54" s="2">
        <v>0.76700000000000002</v>
      </c>
      <c r="C54" s="2">
        <v>0.45200000000000001</v>
      </c>
      <c r="D54" s="2">
        <v>-34.76</v>
      </c>
      <c r="E54" s="2" t="s">
        <v>15</v>
      </c>
      <c r="F54" s="2" t="s">
        <v>320</v>
      </c>
    </row>
    <row r="55" spans="1:7">
      <c r="A55" s="2">
        <v>908</v>
      </c>
      <c r="B55" s="2">
        <v>0.84299999999999997</v>
      </c>
      <c r="C55" s="2">
        <v>-0.83799999999999997</v>
      </c>
      <c r="D55" s="2">
        <v>15.98</v>
      </c>
      <c r="E55" s="2" t="s">
        <v>15</v>
      </c>
      <c r="F55" s="2" t="s">
        <v>319</v>
      </c>
    </row>
    <row r="56" spans="1:7">
      <c r="A56" s="2">
        <v>909</v>
      </c>
      <c r="B56" s="2">
        <v>0.67</v>
      </c>
      <c r="C56" s="2">
        <v>0.49299999999999999</v>
      </c>
      <c r="D56" s="2">
        <v>-47.97</v>
      </c>
      <c r="E56" s="2" t="s">
        <v>15</v>
      </c>
      <c r="F56" s="2" t="s">
        <v>324</v>
      </c>
    </row>
    <row r="57" spans="1:7">
      <c r="A57" s="2">
        <v>910</v>
      </c>
      <c r="B57" s="2">
        <v>0.71799999999999997</v>
      </c>
      <c r="C57" s="2">
        <v>0.53200000000000003</v>
      </c>
      <c r="D57" s="2">
        <v>-40.81</v>
      </c>
      <c r="E57" s="2" t="s">
        <v>15</v>
      </c>
      <c r="F57" s="2" t="s">
        <v>329</v>
      </c>
    </row>
    <row r="58" spans="1:7" s="15" customFormat="1">
      <c r="A58" s="15">
        <v>850</v>
      </c>
      <c r="B58" s="15">
        <v>0.66500000000000004</v>
      </c>
      <c r="C58" s="62">
        <v>0.24249999999999999</v>
      </c>
      <c r="D58" s="15">
        <v>-42.825000000000003</v>
      </c>
      <c r="E58" s="15" t="s">
        <v>15</v>
      </c>
      <c r="F58" s="15" t="s">
        <v>321</v>
      </c>
    </row>
    <row r="59" spans="1:7" s="61" customFormat="1">
      <c r="A59" s="61">
        <v>851</v>
      </c>
      <c r="B59" s="64">
        <v>0.67559999999999998</v>
      </c>
      <c r="C59" s="64">
        <v>0.3004</v>
      </c>
      <c r="D59" s="65">
        <v>-42.422000000000004</v>
      </c>
      <c r="E59" s="61" t="s">
        <v>15</v>
      </c>
      <c r="F59" s="61" t="s">
        <v>330</v>
      </c>
      <c r="G59" s="61" t="s">
        <v>317</v>
      </c>
    </row>
    <row r="60" spans="1:7" s="15" customFormat="1">
      <c r="A60" s="15">
        <v>8511</v>
      </c>
      <c r="B60" s="62">
        <v>0.72174347999999999</v>
      </c>
      <c r="C60" s="62">
        <v>0.25509968</v>
      </c>
      <c r="D60" s="63">
        <v>-36.139301800000005</v>
      </c>
      <c r="E60" s="15" t="s">
        <v>15</v>
      </c>
      <c r="F60" s="15" t="s">
        <v>322</v>
      </c>
    </row>
    <row r="61" spans="1:7" s="15" customFormat="1">
      <c r="A61" s="15">
        <v>8512</v>
      </c>
      <c r="B61" s="62">
        <v>0.84761554291200003</v>
      </c>
      <c r="C61" s="62">
        <v>-0.40190954583999999</v>
      </c>
      <c r="D61" s="63">
        <v>14.155764515060001</v>
      </c>
      <c r="E61" s="15" t="s">
        <v>15</v>
      </c>
      <c r="F61" s="15" t="s">
        <v>323</v>
      </c>
    </row>
    <row r="62" spans="1:7">
      <c r="A62" s="2">
        <v>-9</v>
      </c>
    </row>
    <row r="63" spans="1:7">
      <c r="A63" s="2">
        <v>-9</v>
      </c>
    </row>
    <row r="66" spans="1:9">
      <c r="A66" s="2" t="s">
        <v>15</v>
      </c>
      <c r="B66" s="2">
        <v>1</v>
      </c>
      <c r="C66" s="2" t="s">
        <v>1</v>
      </c>
      <c r="D66" s="2" t="s">
        <v>179</v>
      </c>
      <c r="I66" s="2" t="s">
        <v>274</v>
      </c>
    </row>
    <row r="67" spans="1:9">
      <c r="A67" s="2" t="s">
        <v>15</v>
      </c>
      <c r="B67" s="2">
        <v>2</v>
      </c>
      <c r="C67" s="2" t="s">
        <v>67</v>
      </c>
      <c r="D67" s="2" t="s">
        <v>180</v>
      </c>
      <c r="G67" s="2" t="s">
        <v>183</v>
      </c>
    </row>
    <row r="68" spans="1:9">
      <c r="A68" s="2" t="s">
        <v>15</v>
      </c>
      <c r="B68" s="2">
        <v>3</v>
      </c>
      <c r="C68" s="2" t="s">
        <v>68</v>
      </c>
      <c r="D68" s="2" t="s">
        <v>181</v>
      </c>
      <c r="G68" s="2" t="s">
        <v>278</v>
      </c>
    </row>
    <row r="69" spans="1:9">
      <c r="A69" s="2" t="s">
        <v>15</v>
      </c>
      <c r="B69" s="2">
        <v>4</v>
      </c>
      <c r="C69" s="2" t="s">
        <v>69</v>
      </c>
      <c r="D69" s="2" t="s">
        <v>182</v>
      </c>
      <c r="G69" s="2" t="s">
        <v>178</v>
      </c>
    </row>
    <row r="71" spans="1:9">
      <c r="B71" s="60">
        <v>1.0683</v>
      </c>
      <c r="C71" s="60">
        <v>0.84919999999999995</v>
      </c>
      <c r="D71" s="60">
        <v>0.85189999999999999</v>
      </c>
      <c r="E71" s="60" t="s">
        <v>15</v>
      </c>
      <c r="F71" s="60" t="s">
        <v>325</v>
      </c>
    </row>
    <row r="72" spans="1:9">
      <c r="B72" s="60">
        <v>1.1744000000000001</v>
      </c>
      <c r="C72" s="60">
        <v>-1.5754999999999999</v>
      </c>
      <c r="D72" s="60">
        <v>-0.39169999999999999</v>
      </c>
      <c r="E72" s="60" t="s">
        <v>15</v>
      </c>
      <c r="F72" s="60" t="s">
        <v>326</v>
      </c>
    </row>
    <row r="74" spans="1:9">
      <c r="B74" s="2">
        <v>1.1440999999999999</v>
      </c>
      <c r="C74" s="2">
        <v>0.91520000000000001</v>
      </c>
      <c r="D74" s="2">
        <v>0.72460000000000002</v>
      </c>
      <c r="E74" s="2" t="s">
        <v>15</v>
      </c>
      <c r="F74" s="2" t="s">
        <v>327</v>
      </c>
    </row>
    <row r="75" spans="1:9">
      <c r="B75" s="2">
        <v>1.2577</v>
      </c>
      <c r="C75" s="2">
        <v>-1.6979</v>
      </c>
      <c r="D75" s="2">
        <v>-0.3332</v>
      </c>
      <c r="E75" s="2" t="s">
        <v>15</v>
      </c>
      <c r="F75" s="2" t="s">
        <v>328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E77"/>
  <sheetViews>
    <sheetView topLeftCell="AR1" workbookViewId="0">
      <selection activeCell="BA1" sqref="BA1:BA1048576"/>
    </sheetView>
  </sheetViews>
  <sheetFormatPr defaultColWidth="8.796875" defaultRowHeight="13.25"/>
  <cols>
    <col min="1" max="16384" width="8.796875" style="67"/>
  </cols>
  <sheetData>
    <row r="1" spans="1:57">
      <c r="A1" s="67">
        <v>1</v>
      </c>
      <c r="B1" s="67">
        <v>2</v>
      </c>
      <c r="C1" s="67">
        <v>3</v>
      </c>
      <c r="D1" s="67">
        <v>4</v>
      </c>
      <c r="E1" s="67">
        <v>5</v>
      </c>
      <c r="F1" s="67">
        <v>6</v>
      </c>
      <c r="G1" s="67">
        <v>7</v>
      </c>
      <c r="H1" s="67">
        <v>8</v>
      </c>
      <c r="I1" s="67">
        <v>9</v>
      </c>
      <c r="J1" s="67">
        <v>10</v>
      </c>
      <c r="K1" s="67">
        <v>11</v>
      </c>
      <c r="L1" s="67">
        <v>12</v>
      </c>
      <c r="M1" s="67">
        <v>13</v>
      </c>
      <c r="N1" s="67">
        <v>14</v>
      </c>
      <c r="O1" s="67">
        <v>15</v>
      </c>
      <c r="P1" s="67">
        <v>16</v>
      </c>
      <c r="Q1" s="67">
        <f>P1+1</f>
        <v>17</v>
      </c>
      <c r="R1" s="67">
        <f t="shared" ref="R1:AZ1" si="0">Q1+1</f>
        <v>18</v>
      </c>
      <c r="S1" s="67">
        <f t="shared" si="0"/>
        <v>19</v>
      </c>
      <c r="T1" s="67">
        <f t="shared" si="0"/>
        <v>20</v>
      </c>
      <c r="U1" s="67">
        <f t="shared" si="0"/>
        <v>21</v>
      </c>
      <c r="V1" s="67">
        <f t="shared" si="0"/>
        <v>22</v>
      </c>
      <c r="W1" s="67">
        <f t="shared" si="0"/>
        <v>23</v>
      </c>
      <c r="X1" s="67">
        <f t="shared" si="0"/>
        <v>24</v>
      </c>
      <c r="Y1" s="67">
        <f t="shared" si="0"/>
        <v>25</v>
      </c>
      <c r="Z1" s="67">
        <f t="shared" si="0"/>
        <v>26</v>
      </c>
      <c r="AA1" s="67">
        <f t="shared" si="0"/>
        <v>27</v>
      </c>
      <c r="AB1" s="67">
        <f t="shared" si="0"/>
        <v>28</v>
      </c>
      <c r="AC1" s="67">
        <f t="shared" si="0"/>
        <v>29</v>
      </c>
      <c r="AD1" s="67">
        <f t="shared" si="0"/>
        <v>30</v>
      </c>
      <c r="AE1" s="67">
        <f t="shared" si="0"/>
        <v>31</v>
      </c>
      <c r="AF1" s="67">
        <f t="shared" si="0"/>
        <v>32</v>
      </c>
      <c r="AG1" s="67">
        <f t="shared" si="0"/>
        <v>33</v>
      </c>
      <c r="AH1" s="67">
        <f t="shared" si="0"/>
        <v>34</v>
      </c>
      <c r="AI1" s="67">
        <f t="shared" si="0"/>
        <v>35</v>
      </c>
      <c r="AJ1" s="67">
        <f t="shared" si="0"/>
        <v>36</v>
      </c>
      <c r="AK1" s="67">
        <f t="shared" si="0"/>
        <v>37</v>
      </c>
      <c r="AL1" s="67">
        <f t="shared" si="0"/>
        <v>38</v>
      </c>
      <c r="AM1" s="67">
        <f t="shared" si="0"/>
        <v>39</v>
      </c>
      <c r="AN1" s="67">
        <f t="shared" si="0"/>
        <v>40</v>
      </c>
      <c r="AO1" s="67">
        <f t="shared" si="0"/>
        <v>41</v>
      </c>
      <c r="AP1" s="67">
        <f t="shared" si="0"/>
        <v>42</v>
      </c>
      <c r="AQ1" s="67">
        <f t="shared" si="0"/>
        <v>43</v>
      </c>
      <c r="AR1" s="67">
        <f t="shared" si="0"/>
        <v>44</v>
      </c>
      <c r="AS1" s="67">
        <f t="shared" si="0"/>
        <v>45</v>
      </c>
      <c r="AT1" s="67">
        <f t="shared" si="0"/>
        <v>46</v>
      </c>
      <c r="AU1" s="67">
        <f t="shared" si="0"/>
        <v>47</v>
      </c>
      <c r="AV1" s="67">
        <f t="shared" si="0"/>
        <v>48</v>
      </c>
      <c r="AW1" s="67">
        <f t="shared" si="0"/>
        <v>49</v>
      </c>
      <c r="AX1" s="67">
        <f t="shared" si="0"/>
        <v>50</v>
      </c>
      <c r="AY1" s="67">
        <f t="shared" si="0"/>
        <v>51</v>
      </c>
      <c r="AZ1" s="67">
        <f t="shared" si="0"/>
        <v>52</v>
      </c>
    </row>
    <row r="2" spans="1:57">
      <c r="A2" s="67" t="s">
        <v>1</v>
      </c>
      <c r="B2" s="67" t="s">
        <v>399</v>
      </c>
      <c r="C2" s="67" t="s">
        <v>400</v>
      </c>
      <c r="D2" s="67" t="s">
        <v>401</v>
      </c>
      <c r="E2" s="67" t="s">
        <v>402</v>
      </c>
      <c r="F2" s="67" t="s">
        <v>388</v>
      </c>
      <c r="G2" s="67" t="s">
        <v>389</v>
      </c>
      <c r="H2" s="67" t="s">
        <v>390</v>
      </c>
      <c r="I2" s="67" t="s">
        <v>391</v>
      </c>
      <c r="J2" s="67" t="s">
        <v>392</v>
      </c>
      <c r="K2" s="67" t="s">
        <v>393</v>
      </c>
      <c r="L2" s="67" t="s">
        <v>394</v>
      </c>
      <c r="M2" s="67" t="s">
        <v>395</v>
      </c>
      <c r="N2" s="67" t="s">
        <v>396</v>
      </c>
      <c r="O2" s="67" t="s">
        <v>397</v>
      </c>
      <c r="P2" s="67" t="s">
        <v>398</v>
      </c>
      <c r="Q2" s="67" t="s">
        <v>403</v>
      </c>
      <c r="R2" s="67" t="s">
        <v>404</v>
      </c>
      <c r="S2" s="67" t="s">
        <v>405</v>
      </c>
      <c r="T2" s="67" t="s">
        <v>406</v>
      </c>
      <c r="U2" s="67" t="s">
        <v>407</v>
      </c>
      <c r="V2" s="67" t="s">
        <v>408</v>
      </c>
      <c r="W2" s="67" t="s">
        <v>409</v>
      </c>
      <c r="X2" s="67" t="s">
        <v>410</v>
      </c>
      <c r="Y2" s="67" t="s">
        <v>411</v>
      </c>
      <c r="Z2" s="67" t="s">
        <v>412</v>
      </c>
      <c r="AA2" s="67" t="s">
        <v>413</v>
      </c>
      <c r="AB2" s="67" t="s">
        <v>414</v>
      </c>
      <c r="AC2" s="67" t="s">
        <v>415</v>
      </c>
      <c r="AD2" s="67" t="s">
        <v>416</v>
      </c>
      <c r="AE2" s="67" t="s">
        <v>417</v>
      </c>
      <c r="AF2" s="67" t="s">
        <v>418</v>
      </c>
      <c r="AG2" s="67" t="s">
        <v>419</v>
      </c>
      <c r="AH2" s="67" t="s">
        <v>420</v>
      </c>
      <c r="AI2" s="67" t="s">
        <v>421</v>
      </c>
      <c r="AJ2" s="67" t="s">
        <v>422</v>
      </c>
      <c r="AK2" s="67" t="s">
        <v>423</v>
      </c>
      <c r="AL2" s="67" t="s">
        <v>424</v>
      </c>
      <c r="AM2" s="67" t="s">
        <v>425</v>
      </c>
      <c r="AN2" s="67" t="s">
        <v>426</v>
      </c>
      <c r="AO2" s="67" t="s">
        <v>427</v>
      </c>
      <c r="AP2" s="67" t="s">
        <v>428</v>
      </c>
      <c r="AQ2" s="67" t="s">
        <v>429</v>
      </c>
      <c r="AR2" s="67" t="s">
        <v>430</v>
      </c>
      <c r="AS2" s="67" t="s">
        <v>431</v>
      </c>
      <c r="AT2" s="67" t="s">
        <v>432</v>
      </c>
      <c r="AU2" s="67" t="s">
        <v>347</v>
      </c>
      <c r="AV2" s="67" t="s">
        <v>433</v>
      </c>
      <c r="AW2" s="67" t="s">
        <v>434</v>
      </c>
      <c r="AX2" s="67" t="s">
        <v>435</v>
      </c>
      <c r="AY2" s="67" t="s">
        <v>436</v>
      </c>
      <c r="AZ2" s="67" t="s">
        <v>437</v>
      </c>
    </row>
    <row r="3" spans="1:57">
      <c r="A3" s="67">
        <v>99999</v>
      </c>
      <c r="B3" s="67">
        <v>-999</v>
      </c>
      <c r="C3" s="67">
        <v>-999</v>
      </c>
      <c r="D3" s="67">
        <v>-999</v>
      </c>
      <c r="E3" s="67">
        <v>-999</v>
      </c>
      <c r="F3" s="67">
        <v>-999</v>
      </c>
      <c r="G3" s="67">
        <v>-999</v>
      </c>
      <c r="H3" s="67">
        <v>-999</v>
      </c>
      <c r="I3" s="67">
        <v>-999</v>
      </c>
      <c r="J3" s="67">
        <v>-999</v>
      </c>
      <c r="K3" s="67">
        <v>-999</v>
      </c>
      <c r="L3" s="67">
        <v>-999</v>
      </c>
      <c r="M3" s="67">
        <v>-999</v>
      </c>
      <c r="N3" s="67">
        <v>-999</v>
      </c>
      <c r="O3" s="67">
        <v>-999</v>
      </c>
      <c r="P3" s="67">
        <v>-999</v>
      </c>
      <c r="Q3" s="67">
        <v>-999</v>
      </c>
      <c r="R3" s="67">
        <v>-999</v>
      </c>
      <c r="S3" s="67">
        <v>-999</v>
      </c>
      <c r="T3" s="67">
        <v>-999</v>
      </c>
      <c r="U3" s="67">
        <v>-999</v>
      </c>
      <c r="V3" s="67">
        <v>-999</v>
      </c>
      <c r="W3" s="67">
        <v>-999</v>
      </c>
      <c r="X3" s="67">
        <v>-999</v>
      </c>
      <c r="Y3" s="67">
        <v>-999</v>
      </c>
      <c r="Z3" s="67">
        <v>-999</v>
      </c>
      <c r="AA3" s="67">
        <v>-999</v>
      </c>
      <c r="AB3" s="67">
        <v>-999</v>
      </c>
      <c r="AC3" s="67">
        <v>-999</v>
      </c>
      <c r="AD3" s="67">
        <v>-999</v>
      </c>
      <c r="AE3" s="67">
        <v>-999</v>
      </c>
      <c r="AF3" s="67">
        <v>-999</v>
      </c>
      <c r="AG3" s="67">
        <v>-999</v>
      </c>
      <c r="AH3" s="67">
        <v>-999</v>
      </c>
      <c r="AI3" s="67">
        <v>-999</v>
      </c>
      <c r="AJ3" s="67">
        <v>-999</v>
      </c>
      <c r="AK3" s="67">
        <v>-999</v>
      </c>
      <c r="AL3" s="67">
        <v>-999</v>
      </c>
      <c r="AM3" s="67">
        <v>-999</v>
      </c>
      <c r="AN3" s="67">
        <v>-999</v>
      </c>
      <c r="AO3" s="67">
        <v>-999</v>
      </c>
      <c r="AP3" s="67">
        <v>-999</v>
      </c>
      <c r="AQ3" s="67">
        <v>-999</v>
      </c>
      <c r="AR3" s="67">
        <v>-999</v>
      </c>
      <c r="AS3" s="67">
        <v>-999</v>
      </c>
      <c r="AT3" s="67">
        <v>-999</v>
      </c>
      <c r="AU3" s="67">
        <v>-999</v>
      </c>
      <c r="AV3" s="67">
        <v>-999</v>
      </c>
      <c r="AW3" s="67">
        <v>-999</v>
      </c>
      <c r="AX3" s="67">
        <v>-999</v>
      </c>
      <c r="AY3" s="67">
        <v>-999</v>
      </c>
      <c r="AZ3" s="67">
        <v>-999</v>
      </c>
    </row>
    <row r="4" spans="1:57">
      <c r="A4" s="67">
        <v>201</v>
      </c>
      <c r="B4" s="67">
        <v>0.03</v>
      </c>
      <c r="C4" s="67">
        <v>0.74</v>
      </c>
      <c r="D4" s="67">
        <v>1900000</v>
      </c>
      <c r="E4" s="67">
        <v>0.12</v>
      </c>
      <c r="F4" s="67">
        <v>0.93</v>
      </c>
      <c r="G4" s="67">
        <v>1500000</v>
      </c>
      <c r="H4" s="67">
        <v>0.05</v>
      </c>
      <c r="I4" s="67">
        <v>0.06</v>
      </c>
      <c r="J4" s="67">
        <v>70000</v>
      </c>
      <c r="K4" s="67">
        <v>-999</v>
      </c>
      <c r="L4" s="67">
        <v>-999</v>
      </c>
      <c r="M4" s="67">
        <v>-999</v>
      </c>
      <c r="N4" s="67">
        <v>-999</v>
      </c>
      <c r="O4" s="67">
        <v>-999</v>
      </c>
      <c r="P4" s="67">
        <v>-999</v>
      </c>
      <c r="Q4" s="67">
        <v>0.1</v>
      </c>
      <c r="R4" s="67">
        <v>0.95</v>
      </c>
      <c r="S4" s="67">
        <v>1600000</v>
      </c>
      <c r="T4" s="67">
        <v>0.1</v>
      </c>
      <c r="U4" s="67">
        <v>0.95</v>
      </c>
      <c r="V4" s="67">
        <v>1600000</v>
      </c>
      <c r="W4" s="67">
        <v>0.1</v>
      </c>
      <c r="X4" s="67">
        <v>0.95</v>
      </c>
      <c r="Y4" s="67">
        <v>1600000</v>
      </c>
      <c r="Z4" s="67">
        <v>-999</v>
      </c>
      <c r="AA4" s="67">
        <v>-999</v>
      </c>
      <c r="AB4" s="67">
        <v>-999</v>
      </c>
      <c r="AC4" s="67">
        <v>-999</v>
      </c>
      <c r="AD4" s="67">
        <v>-999</v>
      </c>
      <c r="AE4" s="67">
        <v>-999</v>
      </c>
      <c r="AF4" s="67">
        <v>0.05</v>
      </c>
      <c r="AG4" s="67">
        <v>0.93</v>
      </c>
      <c r="AH4" s="67">
        <v>1500000</v>
      </c>
      <c r="AI4" s="67">
        <v>0.05</v>
      </c>
      <c r="AJ4" s="67">
        <v>0.93</v>
      </c>
      <c r="AK4" s="67">
        <v>1500000</v>
      </c>
      <c r="AL4" s="67">
        <v>0.05</v>
      </c>
      <c r="AM4" s="67">
        <v>0.93</v>
      </c>
      <c r="AN4" s="67">
        <v>1500000</v>
      </c>
      <c r="AO4" s="67">
        <v>-999</v>
      </c>
      <c r="AP4" s="67">
        <v>-999</v>
      </c>
      <c r="AQ4" s="67">
        <v>-999</v>
      </c>
      <c r="AR4" s="67">
        <v>-999</v>
      </c>
      <c r="AS4" s="67">
        <v>-999</v>
      </c>
      <c r="AT4" s="67">
        <v>-999</v>
      </c>
      <c r="AU4" s="67">
        <v>10</v>
      </c>
      <c r="AV4" s="67">
        <v>0.2</v>
      </c>
      <c r="AW4" s="67">
        <v>1</v>
      </c>
      <c r="AX4" s="67">
        <v>1E-3</v>
      </c>
      <c r="AY4" s="67">
        <v>1E-3</v>
      </c>
      <c r="AZ4" s="67">
        <v>1E-3</v>
      </c>
      <c r="BA4" s="67" t="s">
        <v>352</v>
      </c>
      <c r="BC4" s="68" t="s">
        <v>353</v>
      </c>
      <c r="BE4" s="67" t="s">
        <v>354</v>
      </c>
    </row>
    <row r="5" spans="1:57">
      <c r="A5" s="67">
        <v>79977</v>
      </c>
      <c r="B5" s="67">
        <v>0.2</v>
      </c>
      <c r="C5" s="67">
        <v>0.5</v>
      </c>
      <c r="D5" s="67">
        <v>840000</v>
      </c>
      <c r="E5" s="67">
        <v>0.1</v>
      </c>
      <c r="F5" s="67">
        <v>0.03</v>
      </c>
      <c r="G5" s="67">
        <v>56000</v>
      </c>
      <c r="H5" s="67">
        <v>0.05</v>
      </c>
      <c r="I5" s="67">
        <v>0.14000000000000001</v>
      </c>
      <c r="J5" s="67">
        <v>780000</v>
      </c>
      <c r="K5" s="67">
        <v>-999</v>
      </c>
      <c r="L5" s="67">
        <v>-999</v>
      </c>
      <c r="M5" s="67">
        <v>-999</v>
      </c>
      <c r="N5" s="67">
        <v>-999</v>
      </c>
      <c r="O5" s="67">
        <v>-999</v>
      </c>
      <c r="P5" s="67">
        <v>-999</v>
      </c>
      <c r="Q5" s="67">
        <v>0.05</v>
      </c>
      <c r="R5" s="67">
        <v>0.31</v>
      </c>
      <c r="S5" s="67">
        <v>877000</v>
      </c>
      <c r="T5" s="67">
        <v>0.05</v>
      </c>
      <c r="U5" s="67">
        <v>0.31</v>
      </c>
      <c r="V5" s="67">
        <v>877000</v>
      </c>
      <c r="W5" s="67">
        <v>0.05</v>
      </c>
      <c r="X5" s="67">
        <v>0.31</v>
      </c>
      <c r="Y5" s="67">
        <v>877000</v>
      </c>
      <c r="Z5" s="67">
        <v>-999</v>
      </c>
      <c r="AA5" s="67">
        <v>-999</v>
      </c>
      <c r="AB5" s="67">
        <v>-999</v>
      </c>
      <c r="AC5" s="67">
        <v>-999</v>
      </c>
      <c r="AD5" s="67">
        <v>-999</v>
      </c>
      <c r="AE5" s="67">
        <v>-999</v>
      </c>
      <c r="AF5" s="67">
        <v>3.5000000000000003E-2</v>
      </c>
      <c r="AG5" s="67">
        <v>0.5</v>
      </c>
      <c r="AH5" s="67">
        <v>1000000</v>
      </c>
      <c r="AI5" s="67">
        <v>3.5000000000000003E-2</v>
      </c>
      <c r="AJ5" s="67">
        <v>0.5</v>
      </c>
      <c r="AK5" s="67">
        <v>1000000</v>
      </c>
      <c r="AL5" s="67">
        <v>3.5000000000000003E-2</v>
      </c>
      <c r="AM5" s="67">
        <v>0.5</v>
      </c>
      <c r="AN5" s="67">
        <v>1000000</v>
      </c>
      <c r="AO5" s="67">
        <v>-999</v>
      </c>
      <c r="AP5" s="67">
        <v>-999</v>
      </c>
      <c r="AQ5" s="67">
        <v>-999</v>
      </c>
      <c r="AR5" s="67">
        <v>-999</v>
      </c>
      <c r="AS5" s="67">
        <v>-999</v>
      </c>
      <c r="AT5" s="67">
        <v>-999</v>
      </c>
      <c r="AU5" s="67">
        <v>20</v>
      </c>
      <c r="AV5" s="67">
        <v>0.5</v>
      </c>
      <c r="AW5" s="67">
        <v>1</v>
      </c>
      <c r="AX5" s="67">
        <v>1.5E-3</v>
      </c>
      <c r="AY5" s="67">
        <v>1.5E-3</v>
      </c>
      <c r="AZ5" s="67">
        <v>1.5E-3</v>
      </c>
      <c r="BA5" s="67" t="s">
        <v>352</v>
      </c>
      <c r="BC5" s="67" t="s">
        <v>355</v>
      </c>
      <c r="BE5" s="67" t="s">
        <v>356</v>
      </c>
    </row>
    <row r="6" spans="1:57">
      <c r="A6" s="67">
        <v>501</v>
      </c>
      <c r="B6" s="67">
        <v>0.1</v>
      </c>
      <c r="C6" s="67">
        <v>0.76</v>
      </c>
      <c r="D6" s="67">
        <v>1500000</v>
      </c>
      <c r="E6" s="67">
        <v>0.25</v>
      </c>
      <c r="F6" s="67">
        <v>0.74</v>
      </c>
      <c r="G6" s="67">
        <v>1900000</v>
      </c>
      <c r="H6" s="67">
        <v>1</v>
      </c>
      <c r="I6" s="67">
        <v>0.63</v>
      </c>
      <c r="J6" s="67">
        <v>1200000</v>
      </c>
      <c r="K6" s="67">
        <v>3</v>
      </c>
      <c r="L6" s="67">
        <v>0.63</v>
      </c>
      <c r="M6" s="67">
        <v>1200000</v>
      </c>
      <c r="N6" s="67">
        <v>-999</v>
      </c>
      <c r="O6" s="67">
        <v>-999</v>
      </c>
      <c r="P6" s="67">
        <v>-999</v>
      </c>
      <c r="Q6" s="67">
        <v>-999</v>
      </c>
      <c r="R6" s="67">
        <v>-999</v>
      </c>
      <c r="S6" s="67">
        <v>-999</v>
      </c>
      <c r="T6" s="67">
        <v>-999</v>
      </c>
      <c r="U6" s="67">
        <v>-999</v>
      </c>
      <c r="V6" s="67">
        <v>-999</v>
      </c>
      <c r="W6" s="67">
        <v>-999</v>
      </c>
      <c r="X6" s="67">
        <v>-999</v>
      </c>
      <c r="Y6" s="67">
        <v>-999</v>
      </c>
      <c r="Z6" s="67">
        <v>-999</v>
      </c>
      <c r="AA6" s="67">
        <v>-999</v>
      </c>
      <c r="AB6" s="67">
        <v>-999</v>
      </c>
      <c r="AC6" s="67">
        <v>-999</v>
      </c>
      <c r="AD6" s="67">
        <v>-999</v>
      </c>
      <c r="AE6" s="67">
        <v>-999</v>
      </c>
      <c r="AF6" s="67">
        <v>-999</v>
      </c>
      <c r="AG6" s="67">
        <v>-999</v>
      </c>
      <c r="AH6" s="67">
        <v>-999</v>
      </c>
      <c r="AI6" s="67">
        <v>-999</v>
      </c>
      <c r="AJ6" s="67">
        <v>-999</v>
      </c>
      <c r="AK6" s="67">
        <v>-999</v>
      </c>
      <c r="AL6" s="67">
        <v>-999</v>
      </c>
      <c r="AM6" s="67">
        <v>-999</v>
      </c>
      <c r="AN6" s="67">
        <v>-999</v>
      </c>
      <c r="AO6" s="67">
        <v>-999</v>
      </c>
      <c r="AP6" s="67">
        <v>-999</v>
      </c>
      <c r="AQ6" s="67">
        <v>-999</v>
      </c>
      <c r="AR6" s="67">
        <v>-999</v>
      </c>
      <c r="AS6" s="67">
        <v>-999</v>
      </c>
      <c r="AT6" s="67">
        <v>-999</v>
      </c>
      <c r="AU6" s="67">
        <v>-999</v>
      </c>
      <c r="AV6" s="67">
        <v>-999</v>
      </c>
      <c r="AW6" s="67">
        <v>-999</v>
      </c>
      <c r="AX6" s="67">
        <v>-999</v>
      </c>
      <c r="AY6" s="67">
        <v>-999</v>
      </c>
      <c r="AZ6" s="67">
        <v>-999</v>
      </c>
      <c r="BA6" s="67" t="s">
        <v>357</v>
      </c>
      <c r="BC6" s="68" t="s">
        <v>353</v>
      </c>
      <c r="BE6" s="67" t="s">
        <v>354</v>
      </c>
    </row>
    <row r="7" spans="1:57">
      <c r="A7" s="67">
        <v>800</v>
      </c>
      <c r="B7" s="67">
        <v>0.1</v>
      </c>
      <c r="C7" s="67">
        <v>0.65</v>
      </c>
      <c r="D7" s="67">
        <v>1500000</v>
      </c>
      <c r="E7" s="67">
        <v>0.1</v>
      </c>
      <c r="F7" s="67">
        <v>0.93</v>
      </c>
      <c r="G7" s="67">
        <v>1500000</v>
      </c>
      <c r="H7" s="67">
        <v>1</v>
      </c>
      <c r="I7" s="67">
        <v>0.63</v>
      </c>
      <c r="J7" s="67">
        <v>1200000</v>
      </c>
      <c r="K7" s="67">
        <v>3</v>
      </c>
      <c r="L7" s="67">
        <v>0.63</v>
      </c>
      <c r="M7" s="67">
        <v>1200000</v>
      </c>
      <c r="N7" s="67">
        <v>-999</v>
      </c>
      <c r="O7" s="67">
        <v>-999</v>
      </c>
      <c r="P7" s="67">
        <v>-999</v>
      </c>
      <c r="Q7" s="67">
        <v>-999</v>
      </c>
      <c r="R7" s="67">
        <v>-999</v>
      </c>
      <c r="S7" s="67">
        <v>-999</v>
      </c>
      <c r="T7" s="67">
        <v>-999</v>
      </c>
      <c r="U7" s="67">
        <v>-999</v>
      </c>
      <c r="V7" s="67">
        <v>-999</v>
      </c>
      <c r="W7" s="67">
        <v>-999</v>
      </c>
      <c r="X7" s="67">
        <v>-999</v>
      </c>
      <c r="Y7" s="67">
        <v>-999</v>
      </c>
      <c r="Z7" s="67">
        <v>-999</v>
      </c>
      <c r="AA7" s="67">
        <v>-999</v>
      </c>
      <c r="AB7" s="67">
        <v>-999</v>
      </c>
      <c r="AC7" s="67">
        <v>-999</v>
      </c>
      <c r="AD7" s="67">
        <v>-999</v>
      </c>
      <c r="AE7" s="67">
        <v>-999</v>
      </c>
      <c r="AF7" s="67">
        <v>-999</v>
      </c>
      <c r="AG7" s="67">
        <v>-999</v>
      </c>
      <c r="AH7" s="67">
        <v>-999</v>
      </c>
      <c r="AI7" s="67">
        <v>-999</v>
      </c>
      <c r="AJ7" s="67">
        <v>-999</v>
      </c>
      <c r="AK7" s="67">
        <v>-999</v>
      </c>
      <c r="AL7" s="67">
        <v>-999</v>
      </c>
      <c r="AM7" s="67">
        <v>-999</v>
      </c>
      <c r="AN7" s="67">
        <v>-999</v>
      </c>
      <c r="AO7" s="67">
        <v>-999</v>
      </c>
      <c r="AP7" s="67">
        <v>-999</v>
      </c>
      <c r="AQ7" s="67">
        <v>-999</v>
      </c>
      <c r="AR7" s="67">
        <v>-999</v>
      </c>
      <c r="AS7" s="67">
        <v>-999</v>
      </c>
      <c r="AT7" s="67">
        <v>-999</v>
      </c>
      <c r="AU7" s="67">
        <v>-999</v>
      </c>
      <c r="AV7" s="67">
        <v>-999</v>
      </c>
      <c r="AW7" s="67">
        <v>-999</v>
      </c>
      <c r="AX7" s="67">
        <v>-999</v>
      </c>
      <c r="AY7" s="67">
        <v>-999</v>
      </c>
      <c r="AZ7" s="67">
        <v>-999</v>
      </c>
      <c r="BA7" s="67" t="s">
        <v>357</v>
      </c>
      <c r="BC7" s="67" t="s">
        <v>355</v>
      </c>
      <c r="BE7" s="67" t="s">
        <v>356</v>
      </c>
    </row>
    <row r="8" spans="1:57" customFormat="1" ht="14.4">
      <c r="A8">
        <v>801</v>
      </c>
      <c r="B8">
        <v>0.2</v>
      </c>
      <c r="C8">
        <v>0.93</v>
      </c>
      <c r="D8" s="78">
        <v>1500000</v>
      </c>
      <c r="E8">
        <v>0.05</v>
      </c>
      <c r="F8">
        <v>0.19</v>
      </c>
      <c r="G8" s="78">
        <v>1520000</v>
      </c>
      <c r="H8">
        <v>0.12</v>
      </c>
      <c r="I8">
        <v>0.05</v>
      </c>
      <c r="J8" s="78">
        <v>290000</v>
      </c>
      <c r="K8">
        <v>-999</v>
      </c>
      <c r="L8">
        <v>-999</v>
      </c>
      <c r="M8">
        <v>-999</v>
      </c>
      <c r="N8">
        <v>-999</v>
      </c>
      <c r="O8">
        <v>-999</v>
      </c>
      <c r="P8">
        <v>-999</v>
      </c>
      <c r="Q8">
        <v>5.62E-2</v>
      </c>
      <c r="R8">
        <v>1.3728</v>
      </c>
      <c r="S8" s="78">
        <v>1643000</v>
      </c>
      <c r="T8">
        <v>5.62E-2</v>
      </c>
      <c r="U8">
        <v>1.3728</v>
      </c>
      <c r="V8" s="78">
        <v>1643000</v>
      </c>
      <c r="W8">
        <v>5.62E-2</v>
      </c>
      <c r="X8">
        <v>1.3728</v>
      </c>
      <c r="Y8" s="78">
        <v>1643000</v>
      </c>
      <c r="Z8">
        <v>-999</v>
      </c>
      <c r="AA8">
        <v>-999</v>
      </c>
      <c r="AB8">
        <v>-999</v>
      </c>
      <c r="AC8">
        <v>-999</v>
      </c>
      <c r="AD8">
        <v>-999</v>
      </c>
      <c r="AE8">
        <v>-999</v>
      </c>
      <c r="AF8">
        <v>3.5000000000000003E-2</v>
      </c>
      <c r="AG8">
        <v>0.93</v>
      </c>
      <c r="AH8" s="78">
        <v>1500000</v>
      </c>
      <c r="AI8">
        <v>3.5000000000000003E-2</v>
      </c>
      <c r="AJ8">
        <v>0.93</v>
      </c>
      <c r="AK8" s="78">
        <v>1500000</v>
      </c>
      <c r="AL8">
        <v>3.5000000000000003E-2</v>
      </c>
      <c r="AM8">
        <v>0.93</v>
      </c>
      <c r="AN8" s="78">
        <v>1500000</v>
      </c>
      <c r="AO8">
        <v>-999</v>
      </c>
      <c r="AP8">
        <v>-999</v>
      </c>
      <c r="AQ8">
        <v>-999</v>
      </c>
      <c r="AR8">
        <v>-999</v>
      </c>
      <c r="AS8">
        <v>-999</v>
      </c>
      <c r="AT8">
        <v>-999</v>
      </c>
      <c r="AU8">
        <v>20</v>
      </c>
      <c r="AV8">
        <v>0.5</v>
      </c>
      <c r="AW8">
        <v>1</v>
      </c>
      <c r="AX8">
        <v>1.5E-3</v>
      </c>
      <c r="AY8">
        <v>1.5E-3</v>
      </c>
      <c r="AZ8">
        <v>1.5E-3</v>
      </c>
      <c r="BA8" t="s">
        <v>461</v>
      </c>
      <c r="BB8" t="s">
        <v>462</v>
      </c>
      <c r="BC8" t="s">
        <v>463</v>
      </c>
    </row>
    <row r="9" spans="1:57" customFormat="1" ht="14.4">
      <c r="A9">
        <v>802</v>
      </c>
      <c r="B9">
        <v>0.03</v>
      </c>
      <c r="C9">
        <v>0.74</v>
      </c>
      <c r="D9" s="78">
        <v>1900000</v>
      </c>
      <c r="E9">
        <v>0.12</v>
      </c>
      <c r="F9">
        <v>0.93</v>
      </c>
      <c r="G9" s="78">
        <v>1500000</v>
      </c>
      <c r="H9">
        <v>0.05</v>
      </c>
      <c r="I9">
        <v>0.06</v>
      </c>
      <c r="J9" s="78">
        <v>70000</v>
      </c>
      <c r="K9">
        <v>-999</v>
      </c>
      <c r="L9">
        <v>-999</v>
      </c>
      <c r="M9">
        <v>-999</v>
      </c>
      <c r="N9">
        <v>-999</v>
      </c>
      <c r="O9">
        <v>-999</v>
      </c>
      <c r="P9">
        <v>-999</v>
      </c>
      <c r="Q9">
        <v>0.1</v>
      </c>
      <c r="R9">
        <v>0.95</v>
      </c>
      <c r="S9" s="78">
        <v>1600000</v>
      </c>
      <c r="T9">
        <v>0.1</v>
      </c>
      <c r="U9">
        <v>0.95</v>
      </c>
      <c r="V9" s="78">
        <v>1600000</v>
      </c>
      <c r="W9">
        <v>0.1</v>
      </c>
      <c r="X9">
        <v>0.95</v>
      </c>
      <c r="Y9" s="78">
        <v>1600000</v>
      </c>
      <c r="Z9">
        <v>-999</v>
      </c>
      <c r="AA9">
        <v>-999</v>
      </c>
      <c r="AB9">
        <v>-999</v>
      </c>
      <c r="AC9">
        <v>-999</v>
      </c>
      <c r="AD9">
        <v>-999</v>
      </c>
      <c r="AE9">
        <v>-999</v>
      </c>
      <c r="AF9">
        <v>0.05</v>
      </c>
      <c r="AG9">
        <v>0.93</v>
      </c>
      <c r="AH9" s="78">
        <v>1500000</v>
      </c>
      <c r="AI9">
        <v>0.05</v>
      </c>
      <c r="AJ9">
        <v>0.93</v>
      </c>
      <c r="AK9" s="78">
        <v>1500000</v>
      </c>
      <c r="AL9">
        <v>0.05</v>
      </c>
      <c r="AM9">
        <v>0.93</v>
      </c>
      <c r="AN9" s="78">
        <v>1500000</v>
      </c>
      <c r="AO9">
        <v>-999</v>
      </c>
      <c r="AP9">
        <v>-999</v>
      </c>
      <c r="AQ9">
        <v>-999</v>
      </c>
      <c r="AR9">
        <v>-999</v>
      </c>
      <c r="AS9">
        <v>-999</v>
      </c>
      <c r="AT9">
        <v>-999</v>
      </c>
      <c r="AU9">
        <v>10</v>
      </c>
      <c r="AV9">
        <v>0.2</v>
      </c>
      <c r="AW9">
        <v>1</v>
      </c>
      <c r="AX9">
        <v>1E-3</v>
      </c>
      <c r="AY9">
        <v>1E-3</v>
      </c>
      <c r="AZ9">
        <v>1E-3</v>
      </c>
      <c r="BA9" t="s">
        <v>464</v>
      </c>
      <c r="BB9" t="s">
        <v>462</v>
      </c>
      <c r="BC9" t="s">
        <v>465</v>
      </c>
    </row>
    <row r="10" spans="1:57" customFormat="1" ht="14.4">
      <c r="A10">
        <v>803</v>
      </c>
      <c r="B10">
        <v>0.05</v>
      </c>
      <c r="C10">
        <v>0.91</v>
      </c>
      <c r="D10" s="78">
        <v>1500000</v>
      </c>
      <c r="E10">
        <v>0.15</v>
      </c>
      <c r="F10">
        <v>0.93</v>
      </c>
      <c r="G10" s="78">
        <v>1500000</v>
      </c>
      <c r="H10">
        <v>0.12</v>
      </c>
      <c r="I10">
        <v>0.05</v>
      </c>
      <c r="J10" s="78">
        <v>290000</v>
      </c>
      <c r="K10">
        <v>-999</v>
      </c>
      <c r="L10">
        <v>-999</v>
      </c>
      <c r="M10">
        <v>-999</v>
      </c>
      <c r="N10">
        <v>-999</v>
      </c>
      <c r="O10">
        <v>-999</v>
      </c>
      <c r="P10">
        <v>-999</v>
      </c>
      <c r="Q10">
        <v>4.9700000000000001E-2</v>
      </c>
      <c r="R10">
        <v>1.3728</v>
      </c>
      <c r="S10" s="78">
        <v>1643000</v>
      </c>
      <c r="T10">
        <v>4.9700000000000001E-2</v>
      </c>
      <c r="U10">
        <v>1.3728</v>
      </c>
      <c r="V10" s="78">
        <v>1643000</v>
      </c>
      <c r="W10">
        <v>4.9700000000000001E-2</v>
      </c>
      <c r="X10">
        <v>1.3728</v>
      </c>
      <c r="Y10" s="78">
        <v>1643000</v>
      </c>
      <c r="Z10">
        <v>-999</v>
      </c>
      <c r="AA10">
        <v>-999</v>
      </c>
      <c r="AB10">
        <v>-999</v>
      </c>
      <c r="AC10">
        <v>-999</v>
      </c>
      <c r="AD10">
        <v>-999</v>
      </c>
      <c r="AE10">
        <v>-999</v>
      </c>
      <c r="AF10">
        <v>0.05</v>
      </c>
      <c r="AG10">
        <v>0.93</v>
      </c>
      <c r="AH10" s="78">
        <v>1500000</v>
      </c>
      <c r="AI10">
        <v>0.05</v>
      </c>
      <c r="AJ10">
        <v>0.93</v>
      </c>
      <c r="AK10" s="78">
        <v>1500000</v>
      </c>
      <c r="AL10">
        <v>0.05</v>
      </c>
      <c r="AM10">
        <v>0.93</v>
      </c>
      <c r="AN10" s="78">
        <v>1500000</v>
      </c>
      <c r="AO10">
        <v>-999</v>
      </c>
      <c r="AP10">
        <v>-999</v>
      </c>
      <c r="AQ10">
        <v>-999</v>
      </c>
      <c r="AR10">
        <v>-999</v>
      </c>
      <c r="AS10">
        <v>-999</v>
      </c>
      <c r="AT10">
        <v>-999</v>
      </c>
      <c r="AU10">
        <v>20</v>
      </c>
      <c r="AV10">
        <v>0.5</v>
      </c>
      <c r="AW10">
        <v>1</v>
      </c>
      <c r="AX10">
        <v>1.5E-3</v>
      </c>
      <c r="AY10">
        <v>1.5E-3</v>
      </c>
      <c r="AZ10">
        <v>1.5E-3</v>
      </c>
      <c r="BA10" t="s">
        <v>466</v>
      </c>
      <c r="BB10" t="s">
        <v>462</v>
      </c>
      <c r="BC10" t="s">
        <v>467</v>
      </c>
    </row>
    <row r="11" spans="1:57" customFormat="1" ht="14.4">
      <c r="A11">
        <v>804</v>
      </c>
      <c r="B11">
        <v>1.4999999999999999E-2</v>
      </c>
      <c r="C11">
        <v>0.33</v>
      </c>
      <c r="D11" s="78">
        <v>1386000</v>
      </c>
      <c r="E11">
        <v>0.12</v>
      </c>
      <c r="F11">
        <v>0.93</v>
      </c>
      <c r="G11" s="78">
        <v>1500000</v>
      </c>
      <c r="H11">
        <v>0.05</v>
      </c>
      <c r="I11">
        <v>0.06</v>
      </c>
      <c r="J11" s="78">
        <v>70000</v>
      </c>
      <c r="K11">
        <v>-999</v>
      </c>
      <c r="L11">
        <v>-999</v>
      </c>
      <c r="M11">
        <v>-999</v>
      </c>
      <c r="N11">
        <v>-999</v>
      </c>
      <c r="O11">
        <v>-999</v>
      </c>
      <c r="P11">
        <v>-999</v>
      </c>
      <c r="Q11">
        <v>6.4899999999999999E-2</v>
      </c>
      <c r="R11">
        <v>0.65059999999999996</v>
      </c>
      <c r="S11" s="78">
        <v>1157300</v>
      </c>
      <c r="T11">
        <v>6.4899999999999999E-2</v>
      </c>
      <c r="U11">
        <v>0.65059999999999996</v>
      </c>
      <c r="V11" s="78">
        <v>1157300</v>
      </c>
      <c r="W11">
        <v>6.4899999999999999E-2</v>
      </c>
      <c r="X11">
        <v>0.65059999999999996</v>
      </c>
      <c r="Y11" s="78">
        <v>1157300</v>
      </c>
      <c r="Z11">
        <v>-999</v>
      </c>
      <c r="AA11">
        <v>-999</v>
      </c>
      <c r="AB11">
        <v>-999</v>
      </c>
      <c r="AC11">
        <v>-999</v>
      </c>
      <c r="AD11">
        <v>-999</v>
      </c>
      <c r="AE11">
        <v>-999</v>
      </c>
      <c r="AF11">
        <v>0.03</v>
      </c>
      <c r="AG11">
        <v>0.19</v>
      </c>
      <c r="AH11" s="78">
        <v>1520000</v>
      </c>
      <c r="AI11">
        <v>0.03</v>
      </c>
      <c r="AJ11">
        <v>0.19</v>
      </c>
      <c r="AK11" s="78">
        <v>1520000</v>
      </c>
      <c r="AL11">
        <v>0.03</v>
      </c>
      <c r="AM11">
        <v>0.19</v>
      </c>
      <c r="AN11" s="78">
        <v>1520000</v>
      </c>
      <c r="AO11">
        <v>-999</v>
      </c>
      <c r="AP11">
        <v>-999</v>
      </c>
      <c r="AQ11">
        <v>-999</v>
      </c>
      <c r="AR11">
        <v>-999</v>
      </c>
      <c r="AS11">
        <v>-999</v>
      </c>
      <c r="AT11">
        <v>-999</v>
      </c>
      <c r="AU11">
        <v>5</v>
      </c>
      <c r="AV11">
        <v>0.5</v>
      </c>
      <c r="AW11">
        <v>1</v>
      </c>
      <c r="AX11">
        <v>1E-3</v>
      </c>
      <c r="AY11">
        <v>1E-3</v>
      </c>
      <c r="AZ11">
        <v>1E-3</v>
      </c>
      <c r="BA11" t="s">
        <v>468</v>
      </c>
      <c r="BB11" t="s">
        <v>462</v>
      </c>
      <c r="BC11" t="s">
        <v>469</v>
      </c>
    </row>
    <row r="12" spans="1:57" customFormat="1" ht="14.4">
      <c r="A12">
        <v>805</v>
      </c>
      <c r="B12">
        <v>0.03</v>
      </c>
      <c r="C12">
        <v>0.74</v>
      </c>
      <c r="D12" s="78">
        <v>1900000</v>
      </c>
      <c r="E12">
        <v>0.12</v>
      </c>
      <c r="F12">
        <v>0.93</v>
      </c>
      <c r="G12" s="78">
        <v>1500000</v>
      </c>
      <c r="H12">
        <v>0.05</v>
      </c>
      <c r="I12">
        <v>0.06</v>
      </c>
      <c r="J12" s="78">
        <v>70000</v>
      </c>
      <c r="K12">
        <v>-999</v>
      </c>
      <c r="L12">
        <v>-999</v>
      </c>
      <c r="M12">
        <v>-999</v>
      </c>
      <c r="N12">
        <v>-999</v>
      </c>
      <c r="O12">
        <v>-999</v>
      </c>
      <c r="P12">
        <v>-999</v>
      </c>
      <c r="Q12">
        <v>5.62E-2</v>
      </c>
      <c r="R12">
        <v>1.3728</v>
      </c>
      <c r="S12" s="78">
        <v>1643000</v>
      </c>
      <c r="T12">
        <v>5.62E-2</v>
      </c>
      <c r="U12">
        <v>1.3728</v>
      </c>
      <c r="V12" s="78">
        <v>1643000</v>
      </c>
      <c r="W12">
        <v>5.62E-2</v>
      </c>
      <c r="X12">
        <v>1.3728</v>
      </c>
      <c r="Y12" s="78">
        <v>1643000</v>
      </c>
      <c r="Z12">
        <v>-999</v>
      </c>
      <c r="AA12">
        <v>-999</v>
      </c>
      <c r="AB12">
        <v>-999</v>
      </c>
      <c r="AC12">
        <v>-999</v>
      </c>
      <c r="AD12">
        <v>-999</v>
      </c>
      <c r="AE12">
        <v>-999</v>
      </c>
      <c r="AF12">
        <v>0.03</v>
      </c>
      <c r="AG12">
        <v>0.19</v>
      </c>
      <c r="AH12" s="78">
        <v>1520000</v>
      </c>
      <c r="AI12">
        <v>0.03</v>
      </c>
      <c r="AJ12">
        <v>0.93</v>
      </c>
      <c r="AK12" s="78">
        <v>1500000</v>
      </c>
      <c r="AL12">
        <v>0.03</v>
      </c>
      <c r="AM12">
        <v>0.19</v>
      </c>
      <c r="AN12" s="78">
        <v>1520000</v>
      </c>
      <c r="AO12">
        <v>-999</v>
      </c>
      <c r="AP12">
        <v>-999</v>
      </c>
      <c r="AQ12">
        <v>-999</v>
      </c>
      <c r="AR12">
        <v>-999</v>
      </c>
      <c r="AS12">
        <v>-999</v>
      </c>
      <c r="AT12">
        <v>-999</v>
      </c>
      <c r="AU12">
        <v>10</v>
      </c>
      <c r="AV12">
        <v>0.2</v>
      </c>
      <c r="AW12">
        <v>1</v>
      </c>
      <c r="AX12">
        <v>1E-3</v>
      </c>
      <c r="AY12">
        <v>1E-3</v>
      </c>
      <c r="AZ12">
        <v>1E-3</v>
      </c>
      <c r="BA12" t="s">
        <v>470</v>
      </c>
      <c r="BB12" t="s">
        <v>462</v>
      </c>
      <c r="BC12" t="s">
        <v>469</v>
      </c>
    </row>
    <row r="13" spans="1:57" customFormat="1" ht="14.4">
      <c r="A13">
        <v>806</v>
      </c>
      <c r="B13">
        <v>0.1</v>
      </c>
      <c r="C13">
        <v>0.91</v>
      </c>
      <c r="D13" s="78">
        <v>1500000</v>
      </c>
      <c r="E13">
        <v>0.1</v>
      </c>
      <c r="F13">
        <v>0.93</v>
      </c>
      <c r="G13" s="78">
        <v>1500000</v>
      </c>
      <c r="H13">
        <v>1</v>
      </c>
      <c r="I13">
        <v>0.63</v>
      </c>
      <c r="J13" s="78">
        <v>1200000</v>
      </c>
      <c r="K13">
        <v>3</v>
      </c>
      <c r="L13">
        <v>0.63</v>
      </c>
      <c r="M13" s="78">
        <v>1200000</v>
      </c>
      <c r="N13">
        <v>-999</v>
      </c>
      <c r="O13">
        <v>-999</v>
      </c>
      <c r="P13">
        <v>-999</v>
      </c>
      <c r="Q13">
        <v>-999</v>
      </c>
      <c r="R13">
        <v>-999</v>
      </c>
      <c r="S13">
        <v>-999</v>
      </c>
      <c r="T13">
        <v>-999</v>
      </c>
      <c r="U13">
        <v>-999</v>
      </c>
      <c r="V13">
        <v>-999</v>
      </c>
      <c r="W13">
        <v>-999</v>
      </c>
      <c r="X13">
        <v>-999</v>
      </c>
      <c r="Y13">
        <v>-999</v>
      </c>
      <c r="Z13">
        <v>-999</v>
      </c>
      <c r="AA13">
        <v>-999</v>
      </c>
      <c r="AB13">
        <v>-999</v>
      </c>
      <c r="AC13">
        <v>-999</v>
      </c>
      <c r="AD13">
        <v>-999</v>
      </c>
      <c r="AE13">
        <v>-999</v>
      </c>
      <c r="AF13">
        <v>-999</v>
      </c>
      <c r="AG13">
        <v>-999</v>
      </c>
      <c r="AH13">
        <v>-999</v>
      </c>
      <c r="AI13">
        <v>-999</v>
      </c>
      <c r="AJ13">
        <v>-999</v>
      </c>
      <c r="AK13">
        <v>-999</v>
      </c>
      <c r="AL13">
        <v>-999</v>
      </c>
      <c r="AM13">
        <v>-999</v>
      </c>
      <c r="AN13">
        <v>-999</v>
      </c>
      <c r="AO13">
        <v>-999</v>
      </c>
      <c r="AP13">
        <v>-999</v>
      </c>
      <c r="AQ13">
        <v>-999</v>
      </c>
      <c r="AR13">
        <v>-999</v>
      </c>
      <c r="AS13">
        <v>-999</v>
      </c>
      <c r="AT13">
        <v>-999</v>
      </c>
      <c r="AU13">
        <v>-999</v>
      </c>
      <c r="AV13">
        <v>-999</v>
      </c>
      <c r="AW13">
        <v>-999</v>
      </c>
      <c r="AX13">
        <v>-999</v>
      </c>
      <c r="AY13">
        <v>-999</v>
      </c>
      <c r="AZ13">
        <v>-999</v>
      </c>
      <c r="BA13" t="s">
        <v>471</v>
      </c>
      <c r="BB13" t="s">
        <v>463</v>
      </c>
    </row>
    <row r="14" spans="1:57" customFormat="1" ht="14.4">
      <c r="A14">
        <v>807</v>
      </c>
      <c r="B14">
        <v>0.1</v>
      </c>
      <c r="C14">
        <v>0.76</v>
      </c>
      <c r="D14" s="78">
        <v>1500000</v>
      </c>
      <c r="E14">
        <v>0.25</v>
      </c>
      <c r="F14">
        <v>0.63</v>
      </c>
      <c r="G14" s="78">
        <v>1200000</v>
      </c>
      <c r="H14">
        <v>1</v>
      </c>
      <c r="I14">
        <v>0.63</v>
      </c>
      <c r="J14" s="78">
        <v>1200000</v>
      </c>
      <c r="K14">
        <v>3</v>
      </c>
      <c r="L14">
        <v>0.63</v>
      </c>
      <c r="M14" s="78">
        <v>1200000</v>
      </c>
      <c r="N14">
        <v>-999</v>
      </c>
      <c r="O14">
        <v>-999</v>
      </c>
      <c r="P14">
        <v>-999</v>
      </c>
      <c r="Q14">
        <v>-999</v>
      </c>
      <c r="R14">
        <v>-999</v>
      </c>
      <c r="S14">
        <v>-999</v>
      </c>
      <c r="T14">
        <v>-999</v>
      </c>
      <c r="U14">
        <v>-999</v>
      </c>
      <c r="V14">
        <v>-999</v>
      </c>
      <c r="W14">
        <v>-999</v>
      </c>
      <c r="X14">
        <v>-999</v>
      </c>
      <c r="Y14">
        <v>-999</v>
      </c>
      <c r="Z14">
        <v>-999</v>
      </c>
      <c r="AA14">
        <v>-999</v>
      </c>
      <c r="AB14">
        <v>-999</v>
      </c>
      <c r="AC14">
        <v>-999</v>
      </c>
      <c r="AD14">
        <v>-999</v>
      </c>
      <c r="AE14">
        <v>-999</v>
      </c>
      <c r="AF14">
        <v>-999</v>
      </c>
      <c r="AG14">
        <v>-999</v>
      </c>
      <c r="AH14">
        <v>-999</v>
      </c>
      <c r="AI14">
        <v>-999</v>
      </c>
      <c r="AJ14">
        <v>-999</v>
      </c>
      <c r="AK14">
        <v>-999</v>
      </c>
      <c r="AL14">
        <v>-999</v>
      </c>
      <c r="AM14">
        <v>-999</v>
      </c>
      <c r="AN14">
        <v>-999</v>
      </c>
      <c r="AO14">
        <v>-999</v>
      </c>
      <c r="AP14">
        <v>-999</v>
      </c>
      <c r="AQ14">
        <v>-999</v>
      </c>
      <c r="AR14">
        <v>-999</v>
      </c>
      <c r="AS14">
        <v>-999</v>
      </c>
      <c r="AT14">
        <v>-999</v>
      </c>
      <c r="AU14">
        <v>-999</v>
      </c>
      <c r="AV14">
        <v>-999</v>
      </c>
      <c r="AW14">
        <v>-999</v>
      </c>
      <c r="AX14">
        <v>-999</v>
      </c>
      <c r="AY14">
        <v>-999</v>
      </c>
      <c r="AZ14">
        <v>-999</v>
      </c>
      <c r="BA14" t="s">
        <v>472</v>
      </c>
      <c r="BB14" t="s">
        <v>467</v>
      </c>
    </row>
    <row r="15" spans="1:57" customFormat="1" ht="14.4">
      <c r="A15">
        <v>808</v>
      </c>
      <c r="B15">
        <v>0.1</v>
      </c>
      <c r="C15">
        <v>0.74</v>
      </c>
      <c r="D15" s="78">
        <v>1900000</v>
      </c>
      <c r="E15">
        <v>0.1</v>
      </c>
      <c r="F15">
        <v>0.74</v>
      </c>
      <c r="G15" s="78">
        <v>1900000</v>
      </c>
      <c r="H15">
        <v>1</v>
      </c>
      <c r="I15">
        <v>0.63</v>
      </c>
      <c r="J15" s="78">
        <v>1200000</v>
      </c>
      <c r="K15">
        <v>3</v>
      </c>
      <c r="L15">
        <v>0.63</v>
      </c>
      <c r="M15" s="78">
        <v>1200000</v>
      </c>
      <c r="N15">
        <v>-999</v>
      </c>
      <c r="O15">
        <v>-999</v>
      </c>
      <c r="P15">
        <v>-999</v>
      </c>
      <c r="Q15">
        <v>-999</v>
      </c>
      <c r="R15">
        <v>-999</v>
      </c>
      <c r="S15">
        <v>-999</v>
      </c>
      <c r="T15">
        <v>-999</v>
      </c>
      <c r="U15">
        <v>-999</v>
      </c>
      <c r="V15">
        <v>-999</v>
      </c>
      <c r="W15">
        <v>-999</v>
      </c>
      <c r="X15">
        <v>-999</v>
      </c>
      <c r="Y15">
        <v>-999</v>
      </c>
      <c r="Z15">
        <v>-999</v>
      </c>
      <c r="AA15">
        <v>-999</v>
      </c>
      <c r="AB15">
        <v>-999</v>
      </c>
      <c r="AC15">
        <v>-999</v>
      </c>
      <c r="AD15">
        <v>-999</v>
      </c>
      <c r="AE15">
        <v>-999</v>
      </c>
      <c r="AF15">
        <v>-999</v>
      </c>
      <c r="AG15">
        <v>-999</v>
      </c>
      <c r="AH15">
        <v>-999</v>
      </c>
      <c r="AI15">
        <v>-999</v>
      </c>
      <c r="AJ15">
        <v>-999</v>
      </c>
      <c r="AK15">
        <v>-999</v>
      </c>
      <c r="AL15">
        <v>-999</v>
      </c>
      <c r="AM15">
        <v>-999</v>
      </c>
      <c r="AN15">
        <v>-999</v>
      </c>
      <c r="AO15">
        <v>-999</v>
      </c>
      <c r="AP15">
        <v>-999</v>
      </c>
      <c r="AQ15">
        <v>-999</v>
      </c>
      <c r="AR15">
        <v>-999</v>
      </c>
      <c r="AS15">
        <v>-999</v>
      </c>
      <c r="AT15">
        <v>-999</v>
      </c>
      <c r="AU15">
        <v>-999</v>
      </c>
      <c r="AV15">
        <v>-999</v>
      </c>
      <c r="AW15">
        <v>-999</v>
      </c>
      <c r="AX15">
        <v>-999</v>
      </c>
      <c r="AY15">
        <v>-999</v>
      </c>
      <c r="AZ15">
        <v>-999</v>
      </c>
      <c r="BA15" t="s">
        <v>473</v>
      </c>
      <c r="BB15" t="s">
        <v>469</v>
      </c>
    </row>
    <row r="16" spans="1:57" customFormat="1" ht="14.4">
      <c r="A16">
        <v>809</v>
      </c>
      <c r="B16">
        <v>0.2</v>
      </c>
      <c r="C16">
        <v>0.4</v>
      </c>
      <c r="D16" s="78">
        <v>1428000</v>
      </c>
      <c r="E16">
        <v>0.5</v>
      </c>
      <c r="F16">
        <v>0.4</v>
      </c>
      <c r="G16" s="78">
        <v>1428000</v>
      </c>
      <c r="H16">
        <v>0.5</v>
      </c>
      <c r="I16">
        <v>1</v>
      </c>
      <c r="J16" s="78">
        <v>1824000</v>
      </c>
      <c r="K16">
        <v>2.5</v>
      </c>
      <c r="L16">
        <v>1</v>
      </c>
      <c r="M16" s="78">
        <v>1824000</v>
      </c>
      <c r="N16">
        <v>-999</v>
      </c>
      <c r="O16">
        <v>-999</v>
      </c>
      <c r="P16">
        <v>-999</v>
      </c>
      <c r="Q16">
        <v>-999</v>
      </c>
      <c r="R16">
        <v>-999</v>
      </c>
      <c r="S16">
        <v>-999</v>
      </c>
      <c r="T16">
        <v>-999</v>
      </c>
      <c r="U16">
        <v>-999</v>
      </c>
      <c r="V16">
        <v>-999</v>
      </c>
      <c r="W16">
        <v>-999</v>
      </c>
      <c r="X16">
        <v>-999</v>
      </c>
      <c r="Y16">
        <v>-999</v>
      </c>
      <c r="Z16">
        <v>-999</v>
      </c>
      <c r="AA16">
        <v>-999</v>
      </c>
      <c r="AB16">
        <v>-999</v>
      </c>
      <c r="AC16">
        <v>-999</v>
      </c>
      <c r="AD16">
        <v>-999</v>
      </c>
      <c r="AE16">
        <v>-999</v>
      </c>
      <c r="AF16">
        <v>-999</v>
      </c>
      <c r="AG16">
        <v>-999</v>
      </c>
      <c r="AH16">
        <v>-999</v>
      </c>
      <c r="AI16">
        <v>-999</v>
      </c>
      <c r="AJ16">
        <v>-999</v>
      </c>
      <c r="AK16">
        <v>-999</v>
      </c>
      <c r="AL16">
        <v>-999</v>
      </c>
      <c r="AM16">
        <v>-999</v>
      </c>
      <c r="AN16">
        <v>-999</v>
      </c>
      <c r="AO16">
        <v>-999</v>
      </c>
      <c r="AP16">
        <v>-999</v>
      </c>
      <c r="AQ16">
        <v>-999</v>
      </c>
      <c r="AR16">
        <v>-999</v>
      </c>
      <c r="AS16">
        <v>-999</v>
      </c>
      <c r="AT16">
        <v>-999</v>
      </c>
      <c r="AU16">
        <v>-999</v>
      </c>
      <c r="AV16">
        <v>-999</v>
      </c>
      <c r="AW16">
        <v>-999</v>
      </c>
      <c r="AX16">
        <v>-999</v>
      </c>
      <c r="AY16">
        <v>-999</v>
      </c>
      <c r="AZ16">
        <v>-999</v>
      </c>
      <c r="BA16" t="s">
        <v>474</v>
      </c>
      <c r="BB16" t="s">
        <v>475</v>
      </c>
      <c r="BC16" t="s">
        <v>469</v>
      </c>
    </row>
    <row r="17" spans="1:57" customFormat="1" ht="14.4">
      <c r="A17">
        <v>810</v>
      </c>
      <c r="B17">
        <v>0.5</v>
      </c>
      <c r="C17">
        <v>0.19</v>
      </c>
      <c r="D17" s="78">
        <v>1520000</v>
      </c>
      <c r="E17">
        <v>0.5</v>
      </c>
      <c r="F17">
        <v>0.19</v>
      </c>
      <c r="G17" s="78">
        <v>1520000</v>
      </c>
      <c r="H17">
        <v>0.5</v>
      </c>
      <c r="I17">
        <v>1</v>
      </c>
      <c r="J17" s="78">
        <v>1824000</v>
      </c>
      <c r="K17">
        <v>2.5</v>
      </c>
      <c r="L17">
        <v>1</v>
      </c>
      <c r="M17" s="78">
        <v>1824000</v>
      </c>
      <c r="N17">
        <v>-999</v>
      </c>
      <c r="O17">
        <v>-999</v>
      </c>
      <c r="P17">
        <v>-999</v>
      </c>
      <c r="Q17">
        <v>-999</v>
      </c>
      <c r="R17">
        <v>-999</v>
      </c>
      <c r="S17">
        <v>-999</v>
      </c>
      <c r="T17">
        <v>-999</v>
      </c>
      <c r="U17">
        <v>-999</v>
      </c>
      <c r="V17">
        <v>-999</v>
      </c>
      <c r="W17">
        <v>-999</v>
      </c>
      <c r="X17">
        <v>-999</v>
      </c>
      <c r="Y17">
        <v>-999</v>
      </c>
      <c r="Z17">
        <v>-999</v>
      </c>
      <c r="AA17">
        <v>-999</v>
      </c>
      <c r="AB17">
        <v>-999</v>
      </c>
      <c r="AC17">
        <v>-999</v>
      </c>
      <c r="AD17">
        <v>-999</v>
      </c>
      <c r="AE17">
        <v>-999</v>
      </c>
      <c r="AF17">
        <v>-999</v>
      </c>
      <c r="AG17">
        <v>-999</v>
      </c>
      <c r="AH17">
        <v>-999</v>
      </c>
      <c r="AI17">
        <v>-999</v>
      </c>
      <c r="AJ17">
        <v>-999</v>
      </c>
      <c r="AK17">
        <v>-999</v>
      </c>
      <c r="AL17">
        <v>-999</v>
      </c>
      <c r="AM17">
        <v>-999</v>
      </c>
      <c r="AN17">
        <v>-999</v>
      </c>
      <c r="AO17">
        <v>-999</v>
      </c>
      <c r="AP17">
        <v>-999</v>
      </c>
      <c r="AQ17">
        <v>-999</v>
      </c>
      <c r="AR17">
        <v>-999</v>
      </c>
      <c r="AS17">
        <v>-999</v>
      </c>
      <c r="AT17">
        <v>-999</v>
      </c>
      <c r="AU17">
        <v>-999</v>
      </c>
      <c r="AV17">
        <v>-999</v>
      </c>
      <c r="AW17">
        <v>-999</v>
      </c>
      <c r="AX17">
        <v>-999</v>
      </c>
      <c r="AY17">
        <v>-999</v>
      </c>
      <c r="AZ17">
        <v>-999</v>
      </c>
      <c r="BA17" t="s">
        <v>476</v>
      </c>
      <c r="BB17" t="s">
        <v>477</v>
      </c>
      <c r="BC17" t="s">
        <v>478</v>
      </c>
      <c r="BD17" t="s">
        <v>479</v>
      </c>
      <c r="BE17" t="s">
        <v>469</v>
      </c>
    </row>
    <row r="18" spans="1:57" customFormat="1" ht="14.4">
      <c r="A18">
        <v>811</v>
      </c>
      <c r="B18">
        <v>0.5</v>
      </c>
      <c r="C18">
        <v>0.19</v>
      </c>
      <c r="D18" s="78">
        <v>1520000</v>
      </c>
      <c r="E18">
        <v>0.5</v>
      </c>
      <c r="F18">
        <v>0.19</v>
      </c>
      <c r="G18" s="78">
        <v>1520000</v>
      </c>
      <c r="H18">
        <v>0.5</v>
      </c>
      <c r="I18">
        <v>1</v>
      </c>
      <c r="J18" s="78">
        <v>1824000</v>
      </c>
      <c r="K18">
        <v>2.5</v>
      </c>
      <c r="L18">
        <v>1</v>
      </c>
      <c r="M18" s="78">
        <v>1824000</v>
      </c>
      <c r="N18">
        <v>-999</v>
      </c>
      <c r="O18">
        <v>-999</v>
      </c>
      <c r="P18">
        <v>-999</v>
      </c>
      <c r="Q18">
        <v>-999</v>
      </c>
      <c r="R18">
        <v>-999</v>
      </c>
      <c r="S18">
        <v>-999</v>
      </c>
      <c r="T18">
        <v>-999</v>
      </c>
      <c r="U18">
        <v>-999</v>
      </c>
      <c r="V18">
        <v>-999</v>
      </c>
      <c r="W18">
        <v>-999</v>
      </c>
      <c r="X18">
        <v>-999</v>
      </c>
      <c r="Y18">
        <v>-999</v>
      </c>
      <c r="Z18">
        <v>-999</v>
      </c>
      <c r="AA18">
        <v>-999</v>
      </c>
      <c r="AB18">
        <v>-999</v>
      </c>
      <c r="AC18">
        <v>-999</v>
      </c>
      <c r="AD18">
        <v>-999</v>
      </c>
      <c r="AE18">
        <v>-999</v>
      </c>
      <c r="AF18">
        <v>-999</v>
      </c>
      <c r="AG18">
        <v>-999</v>
      </c>
      <c r="AH18">
        <v>-999</v>
      </c>
      <c r="AI18">
        <v>-999</v>
      </c>
      <c r="AJ18">
        <v>-999</v>
      </c>
      <c r="AK18">
        <v>-999</v>
      </c>
      <c r="AL18">
        <v>-999</v>
      </c>
      <c r="AM18">
        <v>-999</v>
      </c>
      <c r="AN18">
        <v>-999</v>
      </c>
      <c r="AO18">
        <v>-999</v>
      </c>
      <c r="AP18">
        <v>-999</v>
      </c>
      <c r="AQ18">
        <v>-999</v>
      </c>
      <c r="AR18">
        <v>-999</v>
      </c>
      <c r="AS18">
        <v>-999</v>
      </c>
      <c r="AT18">
        <v>-999</v>
      </c>
      <c r="AU18">
        <v>-999</v>
      </c>
      <c r="AV18">
        <v>-999</v>
      </c>
      <c r="AW18">
        <v>-999</v>
      </c>
      <c r="AX18">
        <v>-999</v>
      </c>
      <c r="AY18">
        <v>-999</v>
      </c>
      <c r="AZ18">
        <v>-999</v>
      </c>
      <c r="BA18" t="s">
        <v>480</v>
      </c>
      <c r="BB18" t="s">
        <v>477</v>
      </c>
      <c r="BC18" t="s">
        <v>478</v>
      </c>
      <c r="BD18" t="s">
        <v>479</v>
      </c>
      <c r="BE18" t="s">
        <v>469</v>
      </c>
    </row>
    <row r="19" spans="1:57" customFormat="1" ht="14.4">
      <c r="A19">
        <v>812</v>
      </c>
      <c r="B19">
        <v>0.05</v>
      </c>
      <c r="C19">
        <v>1.1000000000000001</v>
      </c>
      <c r="D19" s="78">
        <v>2800000</v>
      </c>
      <c r="E19">
        <v>4.5</v>
      </c>
      <c r="F19">
        <v>1</v>
      </c>
      <c r="G19" s="78">
        <v>1824000</v>
      </c>
      <c r="H19">
        <v>4.5</v>
      </c>
      <c r="I19">
        <v>1</v>
      </c>
      <c r="J19" s="78">
        <v>1824000</v>
      </c>
      <c r="K19">
        <v>4.5</v>
      </c>
      <c r="L19">
        <v>1</v>
      </c>
      <c r="M19" s="78">
        <v>1824000</v>
      </c>
      <c r="N19">
        <v>-999</v>
      </c>
      <c r="O19">
        <v>-999</v>
      </c>
      <c r="P19">
        <v>-999</v>
      </c>
      <c r="Q19">
        <v>-999</v>
      </c>
      <c r="R19">
        <v>-999</v>
      </c>
      <c r="S19">
        <v>-999</v>
      </c>
      <c r="T19">
        <v>-999</v>
      </c>
      <c r="U19">
        <v>-999</v>
      </c>
      <c r="V19">
        <v>-999</v>
      </c>
      <c r="W19">
        <v>-999</v>
      </c>
      <c r="X19">
        <v>-999</v>
      </c>
      <c r="Y19">
        <v>-999</v>
      </c>
      <c r="Z19">
        <v>-999</v>
      </c>
      <c r="AA19">
        <v>-999</v>
      </c>
      <c r="AB19">
        <v>-999</v>
      </c>
      <c r="AC19">
        <v>-999</v>
      </c>
      <c r="AD19">
        <v>-999</v>
      </c>
      <c r="AE19">
        <v>-999</v>
      </c>
      <c r="AF19">
        <v>-999</v>
      </c>
      <c r="AG19">
        <v>-999</v>
      </c>
      <c r="AH19">
        <v>-999</v>
      </c>
      <c r="AI19">
        <v>-999</v>
      </c>
      <c r="AJ19">
        <v>-999</v>
      </c>
      <c r="AK19">
        <v>-999</v>
      </c>
      <c r="AL19">
        <v>-999</v>
      </c>
      <c r="AM19">
        <v>-999</v>
      </c>
      <c r="AN19">
        <v>-999</v>
      </c>
      <c r="AO19">
        <v>-999</v>
      </c>
      <c r="AP19">
        <v>-999</v>
      </c>
      <c r="AQ19">
        <v>-999</v>
      </c>
      <c r="AR19">
        <v>-999</v>
      </c>
      <c r="AS19">
        <v>-999</v>
      </c>
      <c r="AT19">
        <v>-999</v>
      </c>
      <c r="AU19">
        <v>-999</v>
      </c>
      <c r="AV19">
        <v>-999</v>
      </c>
      <c r="AW19">
        <v>-999</v>
      </c>
      <c r="AX19">
        <v>-999</v>
      </c>
      <c r="AY19">
        <v>-999</v>
      </c>
      <c r="AZ19">
        <v>-999</v>
      </c>
      <c r="BA19" t="s">
        <v>481</v>
      </c>
      <c r="BB19" t="s">
        <v>469</v>
      </c>
    </row>
    <row r="20" spans="1:57" customFormat="1" ht="14.4">
      <c r="A20">
        <v>813</v>
      </c>
      <c r="B20">
        <v>1.1000000000000001</v>
      </c>
      <c r="C20">
        <v>0.60199999999999998</v>
      </c>
      <c r="D20" s="78">
        <v>4172500</v>
      </c>
      <c r="E20">
        <v>1.1000000000000001</v>
      </c>
      <c r="F20">
        <v>0.60199999999999998</v>
      </c>
      <c r="G20" s="78">
        <v>4172500</v>
      </c>
      <c r="H20">
        <v>1.1000000000000001</v>
      </c>
      <c r="I20">
        <v>0.60199999999999998</v>
      </c>
      <c r="J20" s="78">
        <v>4172500</v>
      </c>
      <c r="K20">
        <v>1.1000000000000001</v>
      </c>
      <c r="L20">
        <v>0.60199999999999998</v>
      </c>
      <c r="M20" s="78">
        <v>4172500</v>
      </c>
      <c r="N20">
        <v>-999</v>
      </c>
      <c r="O20">
        <v>-999</v>
      </c>
      <c r="P20">
        <v>-999</v>
      </c>
      <c r="Q20">
        <v>-999</v>
      </c>
      <c r="R20">
        <v>-999</v>
      </c>
      <c r="S20">
        <v>-999</v>
      </c>
      <c r="T20">
        <v>-999</v>
      </c>
      <c r="U20">
        <v>-999</v>
      </c>
      <c r="V20">
        <v>-999</v>
      </c>
      <c r="W20">
        <v>-999</v>
      </c>
      <c r="X20">
        <v>-999</v>
      </c>
      <c r="Y20">
        <v>-999</v>
      </c>
      <c r="Z20">
        <v>-999</v>
      </c>
      <c r="AA20">
        <v>-999</v>
      </c>
      <c r="AB20">
        <v>-999</v>
      </c>
      <c r="AC20">
        <v>-999</v>
      </c>
      <c r="AD20">
        <v>-999</v>
      </c>
      <c r="AE20">
        <v>-999</v>
      </c>
      <c r="AF20">
        <v>-999</v>
      </c>
      <c r="AG20">
        <v>-999</v>
      </c>
      <c r="AH20">
        <v>-999</v>
      </c>
      <c r="AI20">
        <v>-999</v>
      </c>
      <c r="AJ20">
        <v>-999</v>
      </c>
      <c r="AK20">
        <v>-999</v>
      </c>
      <c r="AL20">
        <v>-999</v>
      </c>
      <c r="AM20">
        <v>-999</v>
      </c>
      <c r="AN20">
        <v>-999</v>
      </c>
      <c r="AO20">
        <v>-999</v>
      </c>
      <c r="AP20">
        <v>-999</v>
      </c>
      <c r="AQ20">
        <v>-999</v>
      </c>
      <c r="AR20">
        <v>-999</v>
      </c>
      <c r="AS20">
        <v>-999</v>
      </c>
      <c r="AT20">
        <v>-999</v>
      </c>
      <c r="AU20">
        <v>-999</v>
      </c>
      <c r="AV20">
        <v>-999</v>
      </c>
      <c r="AW20">
        <v>-999</v>
      </c>
      <c r="AX20">
        <v>-999</v>
      </c>
      <c r="AY20">
        <v>-999</v>
      </c>
      <c r="AZ20">
        <v>-999</v>
      </c>
      <c r="BA20" t="s">
        <v>482</v>
      </c>
      <c r="BB20" t="s">
        <v>469</v>
      </c>
    </row>
    <row r="21" spans="1:57">
      <c r="A21" s="67">
        <v>-9</v>
      </c>
    </row>
    <row r="22" spans="1:57">
      <c r="A22" s="67">
        <v>-9</v>
      </c>
    </row>
    <row r="24" spans="1:57">
      <c r="A24" s="67" t="s">
        <v>15</v>
      </c>
      <c r="E24" s="67" t="s">
        <v>358</v>
      </c>
      <c r="F24" s="67" t="s">
        <v>359</v>
      </c>
    </row>
    <row r="25" spans="1:57">
      <c r="A25" s="67" t="s">
        <v>15</v>
      </c>
      <c r="C25" s="67">
        <v>1</v>
      </c>
      <c r="D25" s="67" t="s">
        <v>1</v>
      </c>
    </row>
    <row r="26" spans="1:57">
      <c r="A26" s="67" t="s">
        <v>15</v>
      </c>
      <c r="C26" s="67">
        <f>C25+1</f>
        <v>2</v>
      </c>
      <c r="D26" s="67" t="s">
        <v>332</v>
      </c>
      <c r="E26" s="67" t="s">
        <v>360</v>
      </c>
      <c r="G26" s="67" t="s">
        <v>361</v>
      </c>
    </row>
    <row r="27" spans="1:57">
      <c r="A27" s="67" t="s">
        <v>15</v>
      </c>
      <c r="C27" s="67">
        <f t="shared" ref="C27:C76" si="1">C26+1</f>
        <v>3</v>
      </c>
      <c r="D27" s="67" t="s">
        <v>333</v>
      </c>
      <c r="G27" s="67" t="s">
        <v>362</v>
      </c>
    </row>
    <row r="28" spans="1:57">
      <c r="A28" s="67" t="s">
        <v>15</v>
      </c>
      <c r="C28" s="67">
        <f t="shared" si="1"/>
        <v>4</v>
      </c>
      <c r="D28" s="67" t="s">
        <v>334</v>
      </c>
      <c r="G28" s="67" t="s">
        <v>363</v>
      </c>
    </row>
    <row r="29" spans="1:57">
      <c r="A29" s="67" t="s">
        <v>15</v>
      </c>
      <c r="C29" s="67">
        <f t="shared" si="1"/>
        <v>5</v>
      </c>
      <c r="D29" s="67" t="s">
        <v>335</v>
      </c>
      <c r="G29" s="67" t="s">
        <v>364</v>
      </c>
    </row>
    <row r="30" spans="1:57">
      <c r="A30" s="67" t="s">
        <v>15</v>
      </c>
      <c r="C30" s="67">
        <f t="shared" si="1"/>
        <v>6</v>
      </c>
      <c r="D30" s="67" t="s">
        <v>336</v>
      </c>
      <c r="G30" s="67" t="s">
        <v>365</v>
      </c>
    </row>
    <row r="31" spans="1:57">
      <c r="A31" s="67" t="s">
        <v>15</v>
      </c>
      <c r="C31" s="67">
        <f t="shared" si="1"/>
        <v>7</v>
      </c>
      <c r="D31" s="67" t="s">
        <v>337</v>
      </c>
      <c r="G31" s="67" t="s">
        <v>366</v>
      </c>
    </row>
    <row r="32" spans="1:57">
      <c r="A32" s="67" t="s">
        <v>15</v>
      </c>
      <c r="C32" s="67">
        <f t="shared" si="1"/>
        <v>8</v>
      </c>
      <c r="D32" s="67" t="s">
        <v>338</v>
      </c>
      <c r="G32" s="67" t="s">
        <v>367</v>
      </c>
    </row>
    <row r="33" spans="1:7">
      <c r="A33" s="67" t="s">
        <v>15</v>
      </c>
      <c r="C33" s="67">
        <f t="shared" si="1"/>
        <v>9</v>
      </c>
      <c r="D33" s="67" t="s">
        <v>339</v>
      </c>
      <c r="G33" s="67" t="s">
        <v>368</v>
      </c>
    </row>
    <row r="34" spans="1:7">
      <c r="A34" s="67" t="s">
        <v>15</v>
      </c>
      <c r="C34" s="67">
        <f t="shared" si="1"/>
        <v>10</v>
      </c>
      <c r="D34" s="67" t="s">
        <v>340</v>
      </c>
      <c r="G34" s="67" t="s">
        <v>369</v>
      </c>
    </row>
    <row r="35" spans="1:7">
      <c r="A35" s="67" t="s">
        <v>15</v>
      </c>
      <c r="C35" s="67">
        <f t="shared" si="1"/>
        <v>11</v>
      </c>
      <c r="D35" s="67" t="s">
        <v>341</v>
      </c>
      <c r="G35" s="67" t="s">
        <v>370</v>
      </c>
    </row>
    <row r="36" spans="1:7">
      <c r="A36" s="67" t="s">
        <v>15</v>
      </c>
      <c r="C36" s="67">
        <f t="shared" si="1"/>
        <v>12</v>
      </c>
      <c r="D36" s="67" t="s">
        <v>342</v>
      </c>
      <c r="G36" s="67" t="s">
        <v>371</v>
      </c>
    </row>
    <row r="37" spans="1:7">
      <c r="A37" s="67" t="s">
        <v>15</v>
      </c>
      <c r="C37" s="67">
        <f t="shared" si="1"/>
        <v>13</v>
      </c>
      <c r="D37" s="67" t="s">
        <v>343</v>
      </c>
      <c r="G37" s="67" t="s">
        <v>372</v>
      </c>
    </row>
    <row r="38" spans="1:7">
      <c r="A38" s="67" t="s">
        <v>15</v>
      </c>
      <c r="C38" s="67">
        <f t="shared" si="1"/>
        <v>14</v>
      </c>
      <c r="D38" s="67" t="s">
        <v>344</v>
      </c>
      <c r="G38" s="67" t="s">
        <v>373</v>
      </c>
    </row>
    <row r="39" spans="1:7">
      <c r="A39" s="67" t="s">
        <v>15</v>
      </c>
      <c r="C39" s="67">
        <f t="shared" si="1"/>
        <v>15</v>
      </c>
      <c r="D39" s="67" t="s">
        <v>345</v>
      </c>
      <c r="G39" s="67" t="s">
        <v>374</v>
      </c>
    </row>
    <row r="40" spans="1:7">
      <c r="A40" s="67" t="s">
        <v>15</v>
      </c>
      <c r="C40" s="67">
        <f t="shared" si="1"/>
        <v>16</v>
      </c>
      <c r="D40" s="67" t="s">
        <v>346</v>
      </c>
      <c r="G40" s="67" t="s">
        <v>375</v>
      </c>
    </row>
    <row r="41" spans="1:7">
      <c r="A41" s="67" t="s">
        <v>15</v>
      </c>
      <c r="C41" s="67">
        <f t="shared" si="1"/>
        <v>17</v>
      </c>
      <c r="D41" s="67" t="s">
        <v>332</v>
      </c>
      <c r="E41" s="67" t="s">
        <v>376</v>
      </c>
      <c r="F41" s="67" t="s">
        <v>377</v>
      </c>
      <c r="G41" s="67" t="s">
        <v>361</v>
      </c>
    </row>
    <row r="42" spans="1:7">
      <c r="A42" s="67" t="s">
        <v>15</v>
      </c>
      <c r="C42" s="67">
        <f t="shared" si="1"/>
        <v>18</v>
      </c>
      <c r="D42" s="67" t="s">
        <v>333</v>
      </c>
      <c r="F42" s="67" t="s">
        <v>377</v>
      </c>
      <c r="G42" s="67" t="s">
        <v>362</v>
      </c>
    </row>
    <row r="43" spans="1:7">
      <c r="A43" s="67" t="s">
        <v>15</v>
      </c>
      <c r="C43" s="67">
        <f t="shared" si="1"/>
        <v>19</v>
      </c>
      <c r="D43" s="67" t="s">
        <v>334</v>
      </c>
      <c r="F43" s="67" t="s">
        <v>377</v>
      </c>
      <c r="G43" s="67" t="s">
        <v>363</v>
      </c>
    </row>
    <row r="44" spans="1:7">
      <c r="A44" s="67" t="s">
        <v>15</v>
      </c>
      <c r="C44" s="67">
        <f t="shared" si="1"/>
        <v>20</v>
      </c>
      <c r="D44" s="67" t="s">
        <v>335</v>
      </c>
      <c r="F44" s="67" t="s">
        <v>377</v>
      </c>
      <c r="G44" s="67" t="s">
        <v>364</v>
      </c>
    </row>
    <row r="45" spans="1:7">
      <c r="A45" s="67" t="s">
        <v>15</v>
      </c>
      <c r="C45" s="67">
        <f t="shared" si="1"/>
        <v>21</v>
      </c>
      <c r="D45" s="67" t="s">
        <v>336</v>
      </c>
      <c r="F45" s="67" t="s">
        <v>377</v>
      </c>
      <c r="G45" s="67" t="s">
        <v>365</v>
      </c>
    </row>
    <row r="46" spans="1:7">
      <c r="A46" s="67" t="s">
        <v>15</v>
      </c>
      <c r="C46" s="67">
        <f t="shared" si="1"/>
        <v>22</v>
      </c>
      <c r="D46" s="67" t="s">
        <v>337</v>
      </c>
      <c r="F46" s="67" t="s">
        <v>377</v>
      </c>
      <c r="G46" s="67" t="s">
        <v>366</v>
      </c>
    </row>
    <row r="47" spans="1:7">
      <c r="A47" s="67" t="s">
        <v>15</v>
      </c>
      <c r="C47" s="67">
        <f t="shared" si="1"/>
        <v>23</v>
      </c>
      <c r="D47" s="67" t="s">
        <v>338</v>
      </c>
      <c r="F47" s="67" t="s">
        <v>377</v>
      </c>
      <c r="G47" s="67" t="s">
        <v>367</v>
      </c>
    </row>
    <row r="48" spans="1:7">
      <c r="A48" s="67" t="s">
        <v>15</v>
      </c>
      <c r="C48" s="67">
        <f t="shared" si="1"/>
        <v>24</v>
      </c>
      <c r="D48" s="67" t="s">
        <v>339</v>
      </c>
      <c r="F48" s="67" t="s">
        <v>377</v>
      </c>
      <c r="G48" s="67" t="s">
        <v>368</v>
      </c>
    </row>
    <row r="49" spans="1:7">
      <c r="A49" s="67" t="s">
        <v>15</v>
      </c>
      <c r="C49" s="67">
        <f t="shared" si="1"/>
        <v>25</v>
      </c>
      <c r="D49" s="67" t="s">
        <v>340</v>
      </c>
      <c r="F49" s="67" t="s">
        <v>377</v>
      </c>
      <c r="G49" s="67" t="s">
        <v>369</v>
      </c>
    </row>
    <row r="50" spans="1:7">
      <c r="A50" s="67" t="s">
        <v>15</v>
      </c>
      <c r="C50" s="67">
        <f t="shared" si="1"/>
        <v>26</v>
      </c>
      <c r="D50" s="67" t="s">
        <v>341</v>
      </c>
      <c r="F50" s="67" t="s">
        <v>377</v>
      </c>
      <c r="G50" s="67" t="s">
        <v>370</v>
      </c>
    </row>
    <row r="51" spans="1:7">
      <c r="A51" s="67" t="s">
        <v>15</v>
      </c>
      <c r="C51" s="67">
        <f t="shared" si="1"/>
        <v>27</v>
      </c>
      <c r="D51" s="67" t="s">
        <v>342</v>
      </c>
      <c r="F51" s="67" t="s">
        <v>377</v>
      </c>
      <c r="G51" s="67" t="s">
        <v>371</v>
      </c>
    </row>
    <row r="52" spans="1:7">
      <c r="A52" s="67" t="s">
        <v>15</v>
      </c>
      <c r="C52" s="67">
        <f t="shared" si="1"/>
        <v>28</v>
      </c>
      <c r="D52" s="67" t="s">
        <v>343</v>
      </c>
      <c r="F52" s="67" t="s">
        <v>377</v>
      </c>
      <c r="G52" s="67" t="s">
        <v>372</v>
      </c>
    </row>
    <row r="53" spans="1:7">
      <c r="A53" s="67" t="s">
        <v>15</v>
      </c>
      <c r="C53" s="67">
        <f t="shared" si="1"/>
        <v>29</v>
      </c>
      <c r="D53" s="67" t="s">
        <v>344</v>
      </c>
      <c r="F53" s="67" t="s">
        <v>377</v>
      </c>
      <c r="G53" s="67" t="s">
        <v>373</v>
      </c>
    </row>
    <row r="54" spans="1:7">
      <c r="A54" s="67" t="s">
        <v>15</v>
      </c>
      <c r="C54" s="67">
        <f t="shared" si="1"/>
        <v>30</v>
      </c>
      <c r="D54" s="67" t="s">
        <v>345</v>
      </c>
      <c r="F54" s="67" t="s">
        <v>377</v>
      </c>
      <c r="G54" s="67" t="s">
        <v>374</v>
      </c>
    </row>
    <row r="55" spans="1:7">
      <c r="A55" s="67" t="s">
        <v>15</v>
      </c>
      <c r="C55" s="67">
        <f t="shared" si="1"/>
        <v>31</v>
      </c>
      <c r="D55" s="67" t="s">
        <v>346</v>
      </c>
      <c r="F55" s="67" t="s">
        <v>377</v>
      </c>
      <c r="G55" s="67" t="s">
        <v>375</v>
      </c>
    </row>
    <row r="56" spans="1:7">
      <c r="A56" s="67" t="s">
        <v>15</v>
      </c>
      <c r="C56" s="67">
        <f t="shared" si="1"/>
        <v>32</v>
      </c>
      <c r="D56" s="67" t="s">
        <v>332</v>
      </c>
      <c r="E56" s="67" t="s">
        <v>378</v>
      </c>
      <c r="F56" s="67" t="s">
        <v>377</v>
      </c>
      <c r="G56" s="67" t="s">
        <v>361</v>
      </c>
    </row>
    <row r="57" spans="1:7">
      <c r="A57" s="67" t="s">
        <v>15</v>
      </c>
      <c r="C57" s="67">
        <f t="shared" si="1"/>
        <v>33</v>
      </c>
      <c r="D57" s="67" t="s">
        <v>333</v>
      </c>
      <c r="F57" s="67" t="s">
        <v>377</v>
      </c>
      <c r="G57" s="67" t="s">
        <v>362</v>
      </c>
    </row>
    <row r="58" spans="1:7">
      <c r="A58" s="67" t="s">
        <v>15</v>
      </c>
      <c r="C58" s="67">
        <f t="shared" si="1"/>
        <v>34</v>
      </c>
      <c r="D58" s="67" t="s">
        <v>334</v>
      </c>
      <c r="F58" s="67" t="s">
        <v>377</v>
      </c>
      <c r="G58" s="67" t="s">
        <v>363</v>
      </c>
    </row>
    <row r="59" spans="1:7">
      <c r="A59" s="67" t="s">
        <v>15</v>
      </c>
      <c r="C59" s="67">
        <f t="shared" si="1"/>
        <v>35</v>
      </c>
      <c r="D59" s="67" t="s">
        <v>335</v>
      </c>
      <c r="F59" s="67" t="s">
        <v>377</v>
      </c>
      <c r="G59" s="67" t="s">
        <v>364</v>
      </c>
    </row>
    <row r="60" spans="1:7">
      <c r="A60" s="67" t="s">
        <v>15</v>
      </c>
      <c r="C60" s="67">
        <f t="shared" si="1"/>
        <v>36</v>
      </c>
      <c r="D60" s="67" t="s">
        <v>336</v>
      </c>
      <c r="F60" s="67" t="s">
        <v>377</v>
      </c>
      <c r="G60" s="67" t="s">
        <v>365</v>
      </c>
    </row>
    <row r="61" spans="1:7">
      <c r="A61" s="67" t="s">
        <v>15</v>
      </c>
      <c r="C61" s="67">
        <f t="shared" si="1"/>
        <v>37</v>
      </c>
      <c r="D61" s="67" t="s">
        <v>337</v>
      </c>
      <c r="F61" s="67" t="s">
        <v>377</v>
      </c>
      <c r="G61" s="67" t="s">
        <v>366</v>
      </c>
    </row>
    <row r="62" spans="1:7">
      <c r="A62" s="67" t="s">
        <v>15</v>
      </c>
      <c r="C62" s="67">
        <f t="shared" si="1"/>
        <v>38</v>
      </c>
      <c r="D62" s="67" t="s">
        <v>338</v>
      </c>
      <c r="F62" s="67" t="s">
        <v>377</v>
      </c>
      <c r="G62" s="67" t="s">
        <v>367</v>
      </c>
    </row>
    <row r="63" spans="1:7">
      <c r="A63" s="67" t="s">
        <v>15</v>
      </c>
      <c r="C63" s="67">
        <f t="shared" si="1"/>
        <v>39</v>
      </c>
      <c r="D63" s="67" t="s">
        <v>339</v>
      </c>
      <c r="F63" s="67" t="s">
        <v>377</v>
      </c>
      <c r="G63" s="67" t="s">
        <v>368</v>
      </c>
    </row>
    <row r="64" spans="1:7">
      <c r="A64" s="67" t="s">
        <v>15</v>
      </c>
      <c r="C64" s="67">
        <f t="shared" si="1"/>
        <v>40</v>
      </c>
      <c r="D64" s="67" t="s">
        <v>340</v>
      </c>
      <c r="F64" s="67" t="s">
        <v>377</v>
      </c>
      <c r="G64" s="67" t="s">
        <v>369</v>
      </c>
    </row>
    <row r="65" spans="1:7">
      <c r="A65" s="67" t="s">
        <v>15</v>
      </c>
      <c r="C65" s="67">
        <f t="shared" si="1"/>
        <v>41</v>
      </c>
      <c r="D65" s="67" t="s">
        <v>341</v>
      </c>
      <c r="F65" s="67" t="s">
        <v>377</v>
      </c>
      <c r="G65" s="67" t="s">
        <v>370</v>
      </c>
    </row>
    <row r="66" spans="1:7">
      <c r="A66" s="67" t="s">
        <v>15</v>
      </c>
      <c r="C66" s="67">
        <f t="shared" si="1"/>
        <v>42</v>
      </c>
      <c r="D66" s="67" t="s">
        <v>342</v>
      </c>
      <c r="F66" s="67" t="s">
        <v>377</v>
      </c>
      <c r="G66" s="67" t="s">
        <v>371</v>
      </c>
    </row>
    <row r="67" spans="1:7">
      <c r="A67" s="67" t="s">
        <v>15</v>
      </c>
      <c r="C67" s="67">
        <f t="shared" si="1"/>
        <v>43</v>
      </c>
      <c r="D67" s="67" t="s">
        <v>343</v>
      </c>
      <c r="F67" s="67" t="s">
        <v>377</v>
      </c>
      <c r="G67" s="67" t="s">
        <v>372</v>
      </c>
    </row>
    <row r="68" spans="1:7">
      <c r="A68" s="67" t="s">
        <v>15</v>
      </c>
      <c r="C68" s="67">
        <f t="shared" si="1"/>
        <v>44</v>
      </c>
      <c r="D68" s="67" t="s">
        <v>344</v>
      </c>
      <c r="F68" s="67" t="s">
        <v>377</v>
      </c>
      <c r="G68" s="67" t="s">
        <v>373</v>
      </c>
    </row>
    <row r="69" spans="1:7">
      <c r="A69" s="67" t="s">
        <v>15</v>
      </c>
      <c r="C69" s="67">
        <f t="shared" si="1"/>
        <v>45</v>
      </c>
      <c r="D69" s="67" t="s">
        <v>345</v>
      </c>
      <c r="F69" s="67" t="s">
        <v>377</v>
      </c>
      <c r="G69" s="67" t="s">
        <v>374</v>
      </c>
    </row>
    <row r="70" spans="1:7">
      <c r="A70" s="67" t="s">
        <v>15</v>
      </c>
      <c r="C70" s="67">
        <f t="shared" si="1"/>
        <v>46</v>
      </c>
      <c r="D70" s="67" t="s">
        <v>346</v>
      </c>
      <c r="F70" s="67" t="s">
        <v>377</v>
      </c>
      <c r="G70" s="67" t="s">
        <v>375</v>
      </c>
    </row>
    <row r="71" spans="1:7">
      <c r="A71" s="67" t="s">
        <v>15</v>
      </c>
      <c r="C71" s="67">
        <f t="shared" si="1"/>
        <v>47</v>
      </c>
      <c r="D71" s="67" t="s">
        <v>347</v>
      </c>
      <c r="F71" s="67" t="s">
        <v>377</v>
      </c>
      <c r="G71" s="67" t="s">
        <v>379</v>
      </c>
    </row>
    <row r="72" spans="1:7">
      <c r="A72" s="67" t="s">
        <v>15</v>
      </c>
      <c r="C72" s="67">
        <f t="shared" si="1"/>
        <v>48</v>
      </c>
      <c r="D72" s="67" t="s">
        <v>380</v>
      </c>
      <c r="F72" s="67" t="s">
        <v>377</v>
      </c>
      <c r="G72" s="67" t="s">
        <v>381</v>
      </c>
    </row>
    <row r="73" spans="1:7">
      <c r="A73" s="67" t="s">
        <v>15</v>
      </c>
      <c r="C73" s="67">
        <f t="shared" si="1"/>
        <v>49</v>
      </c>
      <c r="D73" s="67" t="s">
        <v>382</v>
      </c>
      <c r="F73" s="67" t="s">
        <v>377</v>
      </c>
      <c r="G73" s="67" t="s">
        <v>383</v>
      </c>
    </row>
    <row r="74" spans="1:7">
      <c r="A74" s="67" t="s">
        <v>15</v>
      </c>
      <c r="C74" s="67">
        <f t="shared" si="1"/>
        <v>50</v>
      </c>
      <c r="D74" s="67" t="s">
        <v>348</v>
      </c>
      <c r="F74" s="67" t="s">
        <v>377</v>
      </c>
      <c r="G74" s="67" t="s">
        <v>384</v>
      </c>
    </row>
    <row r="75" spans="1:7">
      <c r="A75" s="67" t="s">
        <v>15</v>
      </c>
      <c r="C75" s="67">
        <f t="shared" si="1"/>
        <v>51</v>
      </c>
      <c r="D75" s="67" t="s">
        <v>349</v>
      </c>
      <c r="F75" s="67" t="s">
        <v>377</v>
      </c>
      <c r="G75" s="67" t="s">
        <v>385</v>
      </c>
    </row>
    <row r="76" spans="1:7">
      <c r="A76" s="67" t="s">
        <v>15</v>
      </c>
      <c r="C76" s="67">
        <f t="shared" si="1"/>
        <v>52</v>
      </c>
      <c r="D76" s="67" t="s">
        <v>350</v>
      </c>
      <c r="F76" s="67" t="s">
        <v>377</v>
      </c>
      <c r="G76" s="67" t="s">
        <v>386</v>
      </c>
    </row>
    <row r="77" spans="1:7">
      <c r="A77" s="67" t="s">
        <v>15</v>
      </c>
      <c r="C77" s="67">
        <v>53</v>
      </c>
      <c r="D77" s="67" t="s">
        <v>351</v>
      </c>
      <c r="F77" s="67" t="s">
        <v>377</v>
      </c>
      <c r="G77" s="67" t="s">
        <v>387</v>
      </c>
    </row>
  </sheetData>
  <pageMargins left="0.7" right="0.7" top="0.75" bottom="0.75" header="0.3" footer="0.3"/>
  <pageSetup paperSize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N21" sqref="N21"/>
    </sheetView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SUEWS_SiteSelect</vt:lpstr>
      <vt:lpstr>SUEWS_NonVeg</vt:lpstr>
      <vt:lpstr>SUEWS_Veg</vt:lpstr>
      <vt:lpstr>SUEWS_Water</vt:lpstr>
      <vt:lpstr>SUEWS_Snow</vt:lpstr>
      <vt:lpstr>SUEWS_Soil</vt:lpstr>
      <vt:lpstr>SUEWS_Conductance</vt:lpstr>
      <vt:lpstr>SUEWS_AnthropogenicHeat</vt:lpstr>
      <vt:lpstr>SUEWS_Irrigation</vt:lpstr>
      <vt:lpstr>SUEWS_Profiles</vt:lpstr>
      <vt:lpstr>SUEWS_WithinGridWaterDist</vt:lpstr>
      <vt:lpstr>SUEWS_OHMCoefficients</vt:lpstr>
      <vt:lpstr>SUEWS_ESTMCoefficients</vt:lpstr>
      <vt:lpstr>Sheet1</vt:lpstr>
      <vt:lpstr>SUEWS_Profiles!_4.10_GIS_input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 Grimmond</dc:creator>
  <cp:lastModifiedBy>Helen Ward</cp:lastModifiedBy>
  <dcterms:created xsi:type="dcterms:W3CDTF">2014-10-10T17:21:16Z</dcterms:created>
  <dcterms:modified xsi:type="dcterms:W3CDTF">2017-01-16T12:28:43Z</dcterms:modified>
</cp:coreProperties>
</file>