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11595" tabRatio="921" firstSheet="3" activeTab="12"/>
  </bookViews>
  <sheets>
    <sheet name="SUEWS_SiteSelect" sheetId="10" r:id="rId1"/>
    <sheet name="SUEWS_NonVeg" sheetId="2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19" r:id="rId13"/>
  </sheets>
  <definedNames>
    <definedName name="_4.10_GIS_input" localSheetId="9">SUEWS_Profiles!$B$26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9" l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Q1" i="19"/>
  <c r="R1" i="19" s="1"/>
  <c r="S1" i="19" s="1"/>
  <c r="T1" i="19" s="1"/>
  <c r="U1" i="19" s="1"/>
  <c r="V1" i="19" s="1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AG1" i="19" s="1"/>
  <c r="AH1" i="19" s="1"/>
  <c r="AI1" i="19" s="1"/>
  <c r="AJ1" i="19" s="1"/>
  <c r="AK1" i="19" s="1"/>
  <c r="AL1" i="19" s="1"/>
  <c r="AM1" i="19" s="1"/>
  <c r="AN1" i="19" s="1"/>
  <c r="AO1" i="19" s="1"/>
  <c r="AP1" i="19" s="1"/>
  <c r="AQ1" i="19" s="1"/>
  <c r="AR1" i="19" s="1"/>
  <c r="AS1" i="19" s="1"/>
  <c r="AT1" i="19" s="1"/>
  <c r="AU1" i="19" s="1"/>
  <c r="AV1" i="19" s="1"/>
  <c r="AW1" i="19" s="1"/>
  <c r="AX1" i="19" s="1"/>
  <c r="AY1" i="19" s="1"/>
  <c r="AZ1" i="19" s="1"/>
</calcChain>
</file>

<file path=xl/sharedStrings.xml><?xml version="1.0" encoding="utf-8"?>
<sst xmlns="http://schemas.openxmlformats.org/spreadsheetml/2006/main" count="1780" uniqueCount="601">
  <si>
    <t>Anthropogenic Heat Flux Profile values</t>
  </si>
  <si>
    <t>Code</t>
  </si>
  <si>
    <t>Albedo</t>
  </si>
  <si>
    <t>BaseTe</t>
  </si>
  <si>
    <t>BLDG</t>
  </si>
  <si>
    <t>ET</t>
  </si>
  <si>
    <t>DT</t>
  </si>
  <si>
    <t>IG</t>
  </si>
  <si>
    <t>UG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</si>
  <si>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</si>
  <si>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</si>
  <si>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</si>
  <si>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</si>
  <si>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</si>
  <si>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</si>
  <si>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</si>
  <si>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</si>
  <si>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</si>
  <si>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</si>
  <si>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</si>
  <si>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</si>
  <si>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</si>
  <si>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</si>
  <si>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</si>
  <si>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</si>
  <si>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</si>
  <si>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</si>
  <si>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</si>
  <si>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</si>
  <si>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</si>
  <si>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</si>
  <si>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</si>
  <si>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</si>
  <si>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</si>
  <si>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</si>
  <si>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al. (2011)</t>
  </si>
  <si>
    <t>Jarvi et al (2014)</t>
  </si>
  <si>
    <t>Grid</t>
  </si>
  <si>
    <t>Water</t>
  </si>
  <si>
    <t>Jarvi et al. (2014)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</si>
  <si>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</si>
  <si>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</si>
  <si>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</si>
  <si>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</si>
  <si>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</si>
  <si>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</si>
  <si>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</si>
  <si>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</si>
  <si>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</si>
  <si>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</si>
  <si>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</si>
  <si>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</si>
  <si>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</si>
  <si>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</si>
  <si>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</si>
  <si>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</si>
  <si>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</si>
  <si>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</si>
  <si>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</si>
  <si>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</si>
  <si>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</si>
  <si>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</si>
  <si>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</si>
  <si>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</si>
  <si>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</si>
  <si>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</si>
  <si>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Longitude</t>
  </si>
  <si>
    <t>Altitude</t>
  </si>
  <si>
    <t>sand</t>
  </si>
  <si>
    <t>silt</t>
  </si>
  <si>
    <t>loam</t>
  </si>
  <si>
    <t>clay</t>
  </si>
  <si>
    <t>sodic clayey soils</t>
  </si>
  <si>
    <t>imin</t>
  </si>
  <si>
    <t>ih</t>
  </si>
  <si>
    <t xml:space="preserve">Grid 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</si>
  <si>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</si>
  <si>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</si>
  <si>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</si>
  <si>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</si>
  <si>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</si>
  <si>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</si>
  <si>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</si>
  <si>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</si>
  <si>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</si>
  <si>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</si>
  <si>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</si>
  <si>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</si>
  <si>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</si>
  <si>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</si>
  <si>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</si>
  <si>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</si>
  <si>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</si>
  <si>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</si>
  <si>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</si>
  <si>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</si>
  <si>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</si>
  <si>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</si>
  <si>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Helsinki (HCW added 0.99 for emissivity)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</si>
  <si>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</si>
  <si>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</si>
  <si>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</si>
  <si>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</si>
  <si>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</si>
  <si>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</si>
  <si>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</si>
  <si>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</si>
  <si>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</si>
  <si>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</si>
  <si>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</si>
  <si>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</si>
  <si>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</si>
  <si>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</si>
  <si>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</si>
  <si>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</si>
  <si>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</si>
  <si>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</si>
  <si>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</si>
  <si>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</si>
  <si>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</si>
  <si>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</si>
  <si>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</si>
  <si>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</si>
  <si>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</si>
  <si>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</si>
  <si>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</si>
  <si>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</si>
  <si>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</si>
  <si>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</si>
  <si>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</si>
  <si>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</si>
  <si>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</si>
  <si>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</si>
  <si>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</si>
  <si>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</si>
  <si>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</si>
  <si>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</si>
  <si>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</si>
  <si>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</si>
  <si>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</si>
  <si>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</si>
  <si>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</si>
  <si>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</si>
  <si>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</si>
  <si>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</si>
  <si>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</si>
  <si>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</si>
  <si>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</si>
  <si>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</si>
  <si>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</si>
  <si>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</si>
  <si>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</si>
  <si>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</si>
  <si>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</si>
  <si>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</si>
  <si>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</si>
  <si>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</si>
  <si>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</si>
  <si>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</si>
  <si>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</si>
  <si>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</si>
  <si>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</si>
  <si>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</si>
  <si>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</si>
  <si>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</si>
  <si>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</si>
  <si>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</si>
  <si>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</si>
  <si>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</si>
  <si>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</si>
  <si>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</si>
  <si>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</si>
  <si>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</si>
  <si>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</si>
  <si>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</si>
  <si>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</si>
  <si>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</si>
  <si>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</si>
  <si>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ToBuilt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</si>
  <si>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</si>
  <si>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</si>
  <si>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</si>
  <si>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</si>
  <si>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</si>
  <si>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</si>
  <si>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</si>
  <si>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</si>
  <si>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</si>
  <si>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Start of the day light savings</t>
  </si>
  <si>
    <t>End of the day light savings</t>
  </si>
  <si>
    <t>Latitude</t>
  </si>
  <si>
    <t>[ha]</t>
  </si>
  <si>
    <t>[m]</t>
  </si>
  <si>
    <t>[DOY]</t>
  </si>
  <si>
    <t>[decimal degrees]</t>
  </si>
  <si>
    <t>[YYYY]</t>
  </si>
  <si>
    <t>[GGGGG]</t>
  </si>
  <si>
    <t>Day</t>
  </si>
  <si>
    <t>Hour</t>
  </si>
  <si>
    <t>Minute</t>
  </si>
  <si>
    <t>Not currently implemented, set to 1</t>
  </si>
  <si>
    <t>Not currently implemented, set to 0</t>
  </si>
  <si>
    <t>Surface cover fraction</t>
  </si>
  <si>
    <t>Fraction of evergreen trees that are irrigated</t>
  </si>
  <si>
    <t>Fraction of deciduous trees that are irrigated</t>
  </si>
  <si>
    <t>Fraction of grass that is irrigated</t>
  </si>
  <si>
    <t>Mean building height</t>
  </si>
  <si>
    <t>Roughness length for momentum</t>
  </si>
  <si>
    <t>Zero-plane displacement</t>
  </si>
  <si>
    <t>Frontal area index for buildings</t>
  </si>
  <si>
    <t>Code linking to SUEWS_Water, col. 1</t>
  </si>
  <si>
    <t>Drainage rate of bucket for LUMPS</t>
  </si>
  <si>
    <t>[mm h-1]</t>
  </si>
  <si>
    <t>[mm]</t>
  </si>
  <si>
    <t>Limit when surface totally covered with water</t>
  </si>
  <si>
    <t>Maximum water bucket reservoir</t>
  </si>
  <si>
    <t>Atmospheric transmissivity for NARP</t>
  </si>
  <si>
    <t>Code for Paved surface characteristics</t>
  </si>
  <si>
    <t>Code for EveTr surface characteristics</t>
  </si>
  <si>
    <t>Code for DecTr surface characteristics</t>
  </si>
  <si>
    <t>Code for Grass surface characteristics</t>
  </si>
  <si>
    <t>Code for BSoil surface characteristics</t>
  </si>
  <si>
    <t>Code for Water surface characteristics</t>
  </si>
  <si>
    <t>Links to SUEWS_Conductance, col. 1</t>
  </si>
  <si>
    <t>Links to SUEWS_Snow, col. 1</t>
  </si>
  <si>
    <t>Code for surface conductance parameters</t>
  </si>
  <si>
    <t>Code for snow surface characteristics</t>
  </si>
  <si>
    <t>Links to SUEWS_Profiles, col. 1</t>
  </si>
  <si>
    <t>Code for modelling anthropogenic heat flux</t>
  </si>
  <si>
    <t xml:space="preserve">Links to SUEWS_Anthropogenic, col.1 </t>
  </si>
  <si>
    <t>Links to SUEWS_Irrigation, col. 1</t>
  </si>
  <si>
    <t>Code for modelling irrigation</t>
  </si>
  <si>
    <t>Difference in input and output flows for water surface</t>
  </si>
  <si>
    <t>Fraction of above-ground runoff flowing to water surface during flooding</t>
  </si>
  <si>
    <t>Storage capacity of pipes</t>
  </si>
  <si>
    <t>Set to 0 if no connectivity between grids or run is only for a single grid</t>
  </si>
  <si>
    <t xml:space="preserve">Number of the grid where water can flow to </t>
  </si>
  <si>
    <t xml:space="preserve">Fraction of water that can flow to the grid in col. 54 </t>
  </si>
  <si>
    <t>Fraction of water that can flow to the grid in col. 56</t>
  </si>
  <si>
    <t>Fraction of water that can flow to the grid in col. 58</t>
  </si>
  <si>
    <t>Fraction of water that can flow to the grid in col. 60</t>
  </si>
  <si>
    <t>Fraction of water that can flow to the grid in col. 62</t>
  </si>
  <si>
    <t>Fraction of water that can flow to the grid in col. 64</t>
  </si>
  <si>
    <t>Fraction of water that can flow to the grid in col. 66</t>
  </si>
  <si>
    <t>Fraction of water that can flow to the grid in col. 68</t>
  </si>
  <si>
    <t>Links to SUEWS_WithinGridWaterDist, col. 1</t>
  </si>
  <si>
    <t>WithinGridBSoilCode</t>
  </si>
  <si>
    <t>Albedo of this surface</t>
  </si>
  <si>
    <t>Emissivity of this surface</t>
  </si>
  <si>
    <t>Minimum storage capacity of this surface</t>
  </si>
  <si>
    <t>Maximum storage capacity of this surface</t>
  </si>
  <si>
    <t>Drainage equation to use for this surface</t>
  </si>
  <si>
    <t>Coefficient for drainage equation</t>
  </si>
  <si>
    <t>Code for soil characteristics below this surface</t>
  </si>
  <si>
    <t>Maximum SWE</t>
  </si>
  <si>
    <t>SWE when snow is removed from this surface</t>
  </si>
  <si>
    <t>Links to SUEWS_OHMCoefficients, col. 1</t>
  </si>
  <si>
    <t>Temperature for initiating leaf growth</t>
  </si>
  <si>
    <t>[degC]</t>
  </si>
  <si>
    <t>Temperature for initating senescence</t>
  </si>
  <si>
    <t>Growing degree days needed for full capacity</t>
  </si>
  <si>
    <t>Minimum leaf area index</t>
  </si>
  <si>
    <t>Maximum leaf area index</t>
  </si>
  <si>
    <t>[m2 m-2]</t>
  </si>
  <si>
    <t>MaxConductance</t>
  </si>
  <si>
    <t>[mm s-1]</t>
  </si>
  <si>
    <t>LAI equation to use for this surface</t>
  </si>
  <si>
    <t>Maximum conductance for this surface</t>
  </si>
  <si>
    <t>For Water surface</t>
  </si>
  <si>
    <t>Code for Water surface</t>
  </si>
  <si>
    <t>Links to Code_Water in SUEWS_SiteSelect</t>
  </si>
  <si>
    <t>Not currently implemented</t>
  </si>
  <si>
    <t>Code for Snow surface</t>
  </si>
  <si>
    <t>Links to SnowCode in SUEWS_SiteSelect</t>
  </si>
  <si>
    <t>Hourly radiation melt factor of snow</t>
  </si>
  <si>
    <t>Hourly temperature melt factor of snow</t>
  </si>
  <si>
    <t>Minimum albedo</t>
  </si>
  <si>
    <t>Fresh snow albedo</t>
  </si>
  <si>
    <t>Time constant for snow albedo aging in cold snow</t>
  </si>
  <si>
    <t>Time constant for snow albedo aging in melting snow</t>
  </si>
  <si>
    <t>Limit for hourly precipitation when snow albedo is reset to AlbMax</t>
  </si>
  <si>
    <t>Fresh snow density</t>
  </si>
  <si>
    <t>Maximum snow density</t>
  </si>
  <si>
    <t>[kg m-3]</t>
  </si>
  <si>
    <t>Time constant for snow density</t>
  </si>
  <si>
    <t>Minimum water holding capacity of snow</t>
  </si>
  <si>
    <t>Maximum water holding capacity of snow</t>
  </si>
  <si>
    <t>OBS</t>
  </si>
  <si>
    <t>Infiltration rate</t>
  </si>
  <si>
    <t>Hydraulic conductivity for saturated soil</t>
  </si>
  <si>
    <t>Soil density</t>
  </si>
  <si>
    <t>Depth of soil moisture measurements</t>
  </si>
  <si>
    <t>Use only if SM is observed, not modelled</t>
  </si>
  <si>
    <t>OBS_SMCap</t>
  </si>
  <si>
    <t>Maxiumum observed soil moisture</t>
  </si>
  <si>
    <t>[m3 m-3 or kg kg-1]</t>
  </si>
  <si>
    <t>Fraction of soil without rocks</t>
  </si>
  <si>
    <t>Code for soil type below each surface (except water)</t>
  </si>
  <si>
    <t>Code for energy use, water use or snow clearing profile</t>
  </si>
  <si>
    <t>Links to SnowClearingProfWeekday/Weekend, EnergyProfWeekday/Weekend, WaterProfManual/Automatic in SUEWS_SiteSelect</t>
  </si>
  <si>
    <t>0-23</t>
  </si>
  <si>
    <t>Hour of the day</t>
  </si>
  <si>
    <t>2 to 25</t>
  </si>
  <si>
    <t>Code for within grid water distribution</t>
  </si>
  <si>
    <t>Links to WithinGridPavedCode, WithinGridBuiltCode, etc fo each surface type in SUEWS_SiteSelect</t>
  </si>
  <si>
    <t>For each surface</t>
  </si>
  <si>
    <t>Fraction of water flowing from this surface to Built surface</t>
  </si>
  <si>
    <t>Fraction of water flowing from this surface to Paved surface</t>
  </si>
  <si>
    <t>Fraction of water flowing from this surface to EveTr surface</t>
  </si>
  <si>
    <t>Fraction of water flowing from this surface to DecTr surface</t>
  </si>
  <si>
    <t>Fraction of water flowing from this surface to Grass surface</t>
  </si>
  <si>
    <t>Fraction of water flowing from this surface to BSoil surface</t>
  </si>
  <si>
    <t>N.B. Water cannot flow from a surface to the same surface, so diagonal elements must be zero</t>
  </si>
  <si>
    <t>Fraction of water from this surface entering the soil store</t>
  </si>
  <si>
    <t>Fraction of water from this surface that becomes runoff</t>
  </si>
  <si>
    <t>Evergreen</t>
  </si>
  <si>
    <t>Columns 2-10 must sum to 1</t>
  </si>
  <si>
    <t>Links to IrrigationCode in SUEWS_SiteSelect</t>
  </si>
  <si>
    <t>Day when irrigation starts</t>
  </si>
  <si>
    <t>Day when irrigation ends</t>
  </si>
  <si>
    <t>Internal water use</t>
  </si>
  <si>
    <t>Fraction of irrigated area using automatic sprinklers</t>
  </si>
  <si>
    <t>Coefficient for automatic irrigation model</t>
  </si>
  <si>
    <t>Coefficient for manual irrigation model</t>
  </si>
  <si>
    <t>[mm d-1]</t>
  </si>
  <si>
    <t>Irrigation allowed on Mondays [1], if not [0]</t>
  </si>
  <si>
    <t>Irrigation allowed on Tuesdays [1], if not [0]</t>
  </si>
  <si>
    <t>Irrigation allowed on Wednesdays [1], if not [0]</t>
  </si>
  <si>
    <t>Irrigation allowed on Thursdays [1], if not [0]</t>
  </si>
  <si>
    <t>Irrigation allowed on Fridays [1], if not [0]</t>
  </si>
  <si>
    <t>Irrigation allowed on Saturdays [1], if not [0]</t>
  </si>
  <si>
    <t>Irrigation allowed on Sundays [1], if not [0]</t>
  </si>
  <si>
    <t>Code for anthropogenic heat modelling</t>
  </si>
  <si>
    <t>Code for irrigation modelling</t>
  </si>
  <si>
    <t>Base temperature for heating degree days</t>
  </si>
  <si>
    <t>[W m-2 (Cap ha-1)-1]</t>
  </si>
  <si>
    <t>[W m-2 K-1 (Cap ha-1)-1]</t>
  </si>
  <si>
    <t>Base value for QF on weekdays</t>
  </si>
  <si>
    <t>Base value for QF on weekends</t>
  </si>
  <si>
    <t>Related to cooling degree days on weekdays</t>
  </si>
  <si>
    <t>Related to heating degree days on weekdays</t>
  </si>
  <si>
    <t>Related to cooling degree days on weekends</t>
  </si>
  <si>
    <t>Related to heating degree days on weekends</t>
  </si>
  <si>
    <t>[W m-2]</t>
  </si>
  <si>
    <t>[W m-2 K-1]</t>
  </si>
  <si>
    <t>Minimum QF</t>
  </si>
  <si>
    <t>Slope of QF versus Tair</t>
  </si>
  <si>
    <t>Critical temperature</t>
  </si>
  <si>
    <t>Use with AnthropHeatChoice = 2</t>
  </si>
  <si>
    <t>Use with AnthropHeatChoice = 1</t>
  </si>
  <si>
    <t>Code for storage heat flux estimation using OHM</t>
  </si>
  <si>
    <t>Coefficient for Q* term</t>
  </si>
  <si>
    <t>Coefficient for dQ*/dt term</t>
  </si>
  <si>
    <t>Constant</t>
  </si>
  <si>
    <t>[-]</t>
  </si>
  <si>
    <t>Maximum incoming shortwave radiation</t>
  </si>
  <si>
    <t>N.B. These values should not be changed independently of each other</t>
  </si>
  <si>
    <t>Related to soil moisture dependence</t>
  </si>
  <si>
    <t>Related to Kdown dependence</t>
  </si>
  <si>
    <t>Related to VPD dependence</t>
  </si>
  <si>
    <t>[kg g-1]</t>
  </si>
  <si>
    <t>[g kg-1]</t>
  </si>
  <si>
    <t>Related to temperature dependence</t>
  </si>
  <si>
    <t>[mm-1]</t>
  </si>
  <si>
    <t>Related to maximum surface conductance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</si>
  <si>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</si>
  <si>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</si>
  <si>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</si>
  <si>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</si>
  <si>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</si>
  <si>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</si>
  <si>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</si>
  <si>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</si>
  <si>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</si>
  <si>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</si>
  <si>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</si>
  <si>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</si>
  <si>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</si>
  <si>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</si>
  <si>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Vegetation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</si>
  <si>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</si>
  <si>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</si>
  <si>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</si>
  <si>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</si>
  <si>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</si>
  <si>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</si>
  <si>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</si>
  <si>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</si>
  <si>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</si>
  <si>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</si>
  <si>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Bare soil (mean)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</si>
  <si>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</si>
  <si>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</si>
  <si>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</si>
  <si>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</si>
  <si>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</si>
  <si>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</si>
  <si>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</si>
  <si>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</si>
  <si>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</si>
  <si>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</si>
  <si>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</si>
  <si>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</si>
  <si>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</si>
  <si>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</si>
  <si>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</si>
  <si>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</si>
  <si>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</si>
  <si>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</si>
  <si>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</si>
  <si>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</si>
  <si>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</si>
  <si>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</si>
  <si>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</si>
  <si>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</si>
  <si>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</si>
  <si>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</si>
  <si>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</si>
  <si>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</si>
  <si>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Asphalt (winter)</t>
  </si>
  <si>
    <t>Asphalt (summer)</t>
  </si>
  <si>
    <t>Impervious (average)</t>
  </si>
  <si>
    <t>Fr_Paved</t>
  </si>
  <si>
    <t>Fr_EveTr</t>
  </si>
  <si>
    <t>Fr_DecTr</t>
  </si>
  <si>
    <t>Fr_Grass</t>
  </si>
  <si>
    <t>Fr_Bsoil</t>
  </si>
  <si>
    <t>Fr_Water</t>
  </si>
  <si>
    <t>H_EveTr</t>
  </si>
  <si>
    <t>Mean evergreen tree height</t>
  </si>
  <si>
    <t>H_DecTr</t>
  </si>
  <si>
    <t>Mean deciduous tree height</t>
  </si>
  <si>
    <t>FAI_EveTr</t>
  </si>
  <si>
    <t>Frontal area index for evergreen trees</t>
  </si>
  <si>
    <t>FAI_DecTr</t>
  </si>
  <si>
    <t>Frontal area index for deciduous trees</t>
  </si>
  <si>
    <t>PopDensDay</t>
  </si>
  <si>
    <t>Daytime population density (i.e. workers, tourists)</t>
  </si>
  <si>
    <t>[no. people ha-1]</t>
  </si>
  <si>
    <t>PopDensNight</t>
  </si>
  <si>
    <t>Night-time population density (i.e. residents)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</si>
  <si>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</si>
  <si>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</si>
  <si>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</si>
  <si>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</si>
  <si>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</si>
  <si>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</si>
  <si>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</si>
  <si>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</si>
  <si>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</si>
  <si>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</si>
  <si>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</si>
  <si>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</si>
  <si>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</si>
  <si>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</si>
  <si>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</si>
  <si>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</si>
  <si>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Upper air temperature limit</t>
  </si>
  <si>
    <t>Lower air temperature limit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</si>
  <si>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</si>
  <si>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</si>
  <si>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</si>
  <si>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</si>
  <si>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</si>
  <si>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</si>
  <si>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</si>
  <si>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</si>
  <si>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[mm  d-1 degC-1]</t>
  </si>
  <si>
    <t>[mm d-2]</t>
  </si>
  <si>
    <t>[mm  d-1]</t>
  </si>
  <si>
    <t>[mm degC-1  d-1]</t>
  </si>
  <si>
    <t>Code for EveTr, DecTr or Grass surfaces</t>
  </si>
  <si>
    <t>Fraction of properties using irrigation on Sundays [0-1]</t>
  </si>
  <si>
    <t>Fraction of properties using irrigation on Mondays [0-1]</t>
  </si>
  <si>
    <t>Fraction of properties using irrigation on Tuesdays [0-1]</t>
  </si>
  <si>
    <t>Fraction of properties using irrigation on Wednesdays [0-1]</t>
  </si>
  <si>
    <t>Fraction of properties using irrigation on Thursdays [0-1]</t>
  </si>
  <si>
    <t>Fraction of properties using irrigation on Fridays [0-1]</t>
  </si>
  <si>
    <t>Fraction of properties using irrigation on Saturdays [0-1]</t>
  </si>
  <si>
    <t>Senescence degree days needed to initiate leaf off</t>
  </si>
  <si>
    <t>SoilDepth</t>
  </si>
  <si>
    <t>Depth of sub-surface soil store</t>
  </si>
  <si>
    <t>Capacity of sub-surface soil store (must not exceed col 2)</t>
  </si>
  <si>
    <t>For Buildings, Paved or Bare soil surface</t>
  </si>
  <si>
    <t>Links to SoilTypeCode in SUEWS_NonVeg, SUEWS_Veg</t>
  </si>
  <si>
    <t>Links to SUEWS_NonVeg, col. 1</t>
  </si>
  <si>
    <t>Links to OHM_Code_ columns in SUEWS_NonVeg, SUEWS_Veg, SUEWS_Water, SUEWS_Snow</t>
  </si>
  <si>
    <t>Code linking to SUEWS_Veg, col. 1</t>
  </si>
  <si>
    <t>Links to CondCode in SUEWS_Veg</t>
  </si>
  <si>
    <t>Code for snow clearing profile (weekdays)</t>
  </si>
  <si>
    <t>Code for snow clearing profile (weekends)</t>
  </si>
  <si>
    <t>Code for energy use profile (weekdays)</t>
  </si>
  <si>
    <t>Code for energy use profile (weekends)</t>
  </si>
  <si>
    <t>Code for water use profile (manual irrigation, weekdays)</t>
  </si>
  <si>
    <t>Code for water use profile (manual irrigation, weekends)</t>
  </si>
  <si>
    <t>Code for water use profile (automatic irrigation, weekdays)</t>
  </si>
  <si>
    <t>Code for water use profile (automatic irrigation, weekends)</t>
  </si>
  <si>
    <t>Code that links to fraction of water that flows from Paved surfaces to surfaces in columns 2-10 of SUEWS_WithinGridWaterDist</t>
  </si>
  <si>
    <t>Code that links to fraction of water that flows from Built surfaces to surfaces in columns 2-10 of SUEWS_WithinGridWaterDist</t>
  </si>
  <si>
    <t>Code that links to fraction of water that flows from EveTr surfaces to surfaces in columns 2-10 of SUEWS_WithinGridWaterDist</t>
  </si>
  <si>
    <t>Code that links to fraction of water that flows from DecTr surfaces to surfaces in columns 2-10 of SUEWS_WithinGridWaterDist</t>
  </si>
  <si>
    <t>Code that links to fraction of water that flows from Grass surfaces to surfaces in columns 2-10 of SUEWS_WithinGridWaterDist</t>
  </si>
  <si>
    <t>Code that links to fraction of water that flows from BSoil surfaces to surfaces in columns 2-10 of SUEWS_WithinGridWaterDist</t>
  </si>
  <si>
    <t>Code that links to fraction of water that flows from Water surfaces to surfaces in columns 2-10 of SUEWS_WithinGridWaterDist</t>
  </si>
  <si>
    <t>Code for Paved, Bldgs, BSoil surfaces</t>
  </si>
  <si>
    <t>StateLimit</t>
  </si>
  <si>
    <t>Maximum amount of water in the surface state for this surface</t>
  </si>
  <si>
    <t>Snow clearing, water use (not used)</t>
  </si>
  <si>
    <t>For EveTr, DecTr or Grass surface</t>
  </si>
  <si>
    <t>[h]</t>
  </si>
  <si>
    <t>Fr_Bldgs</t>
  </si>
  <si>
    <t>H_Bldgs</t>
  </si>
  <si>
    <t>FAI_Bldgs</t>
  </si>
  <si>
    <t>Code_Bldgs</t>
  </si>
  <si>
    <t>Code for Bldgs surface characteristics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</si>
  <si>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</si>
  <si>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</si>
  <si>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</si>
  <si>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</si>
  <si>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</si>
  <si>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</si>
  <si>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</si>
  <si>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</si>
  <si>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Swindon (no water)</t>
  </si>
  <si>
    <t>Temperature limit when precipitation occurs as snow</t>
  </si>
  <si>
    <t>Vs87</t>
  </si>
  <si>
    <t>Thetford Forest</t>
  </si>
  <si>
    <t>Stewart (1988)</t>
  </si>
  <si>
    <t>Threshold for wet evaporation limit</t>
  </si>
  <si>
    <t>WetThreshold</t>
  </si>
  <si>
    <t>New coefficients - Use with gsChoice = 2 (HCW 18 Jun 2015)</t>
  </si>
  <si>
    <t>Albedo of this surface (maximum leaf-on summertime value)</t>
  </si>
  <si>
    <t>Albedo of this surface (minimum leaf-off wintertime value)</t>
  </si>
  <si>
    <t>Albedo of this surface (this value is used)</t>
  </si>
  <si>
    <t>Albedo of this surface (not currentlyused)</t>
  </si>
  <si>
    <t>AlbedoMin (not currently used)</t>
  </si>
  <si>
    <t>BarkingandDagenham</t>
  </si>
  <si>
    <t>LoBo</t>
  </si>
  <si>
    <t>Swindon (below Paved)</t>
  </si>
  <si>
    <t>Swindon (below Built)</t>
  </si>
  <si>
    <t>Swindon (below others)</t>
  </si>
  <si>
    <t xml:space="preserve">! </t>
  </si>
  <si>
    <t>BSoil</t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</si>
  <si>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</si>
  <si>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</si>
  <si>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</si>
  <si>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</si>
  <si>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</si>
  <si>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</si>
  <si>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</si>
  <si>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</si>
  <si>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</si>
  <si>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</si>
  <si>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</si>
  <si>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</si>
  <si>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</si>
  <si>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</si>
  <si>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</si>
  <si>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</si>
  <si>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alb_ibld</t>
  </si>
  <si>
    <t>em_ibld</t>
  </si>
  <si>
    <t>CH_iwall</t>
  </si>
  <si>
    <t>CH_iroof</t>
  </si>
  <si>
    <t>!building</t>
  </si>
  <si>
    <t>Łódź</t>
  </si>
  <si>
    <t>Offerle et al. (2005)</t>
  </si>
  <si>
    <t>Barbican, London</t>
  </si>
  <si>
    <t>URBANFLUXES D5.1 report</t>
  </si>
  <si>
    <t>!ground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</si>
  <si>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</si>
  <si>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</si>
  <si>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</si>
  <si>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</si>
  <si>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</si>
  <si>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</si>
  <si>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</si>
  <si>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</si>
  <si>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</si>
  <si>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</si>
  <si>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</si>
  <si>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</si>
  <si>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</si>
  <si>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</si>
  <si>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</si>
  <si>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</si>
  <si>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</si>
  <si>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</si>
  <si>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</si>
  <si>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</si>
  <si>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</si>
  <si>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</si>
  <si>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CH_ibld</t>
  </si>
  <si>
    <t>bulk transfer coefficient of internal building element</t>
  </si>
  <si>
    <t>Building</t>
  </si>
  <si>
    <t>Ground</t>
  </si>
  <si>
    <t>Notused</t>
  </si>
  <si>
    <t>for external wall</t>
  </si>
  <si>
    <t>for internal elements</t>
  </si>
  <si>
    <t>for roof</t>
  </si>
  <si>
    <t>fwall</t>
  </si>
  <si>
    <t>Ratio of wall area per unit of plane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</si>
</sst>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"/>
    <numFmt numFmtId="165" formatCode="0.000"/>
  </numFmts>
  <fonts count="20">
    <font>
      <sz val="11"/>
      <color theme="1"/>
      <name val="Calibri"/>
      <family val="2"/>
      <scheme val="minor"/>
    </font>
    <font>
      <sz val="10"/>
      <color rgb="FF943634"/>
      <name val="Arial Narrow"/>
      <family val="2"/>
    </font>
    <font>
      <i/>
      <sz val="10"/>
      <color rgb="FF943634"/>
      <name val="Arial Narrow"/>
      <family val="2"/>
    </font>
    <font>
      <b/>
      <sz val="10"/>
      <color rgb="FF943634"/>
      <name val="Arial Narrow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Calibri"/>
      <family val="2"/>
      <scheme val="minor"/>
    </font>
    <font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4" fillId="0" borderId="0" xfId="0" applyFont="1" applyFill="1"/>
    <xf numFmtId="0" fontId="5" fillId="0" borderId="0" xfId="0" applyFont="1"/>
    <xf numFmtId="0" fontId="5" fillId="2" borderId="0" xfId="0" applyFont="1" applyFill="1"/>
    <xf numFmtId="0" fontId="4" fillId="2" borderId="0" xfId="0" applyFont="1" applyFill="1" applyBorder="1"/>
    <xf numFmtId="0" fontId="5" fillId="3" borderId="0" xfId="0" applyFont="1" applyFill="1"/>
    <xf numFmtId="0" fontId="4" fillId="3" borderId="0" xfId="0" applyFont="1" applyFill="1" applyBorder="1"/>
    <xf numFmtId="11" fontId="5" fillId="0" borderId="0" xfId="0" applyNumberFormat="1" applyFont="1"/>
    <xf numFmtId="0" fontId="5" fillId="0" borderId="0" xfId="0" applyFont="1" applyFill="1" applyBorder="1"/>
    <xf numFmtId="0" fontId="4" fillId="0" borderId="0" xfId="0" applyFont="1" applyFill="1" applyBorder="1"/>
    <xf numFmtId="0" fontId="4" fillId="3" borderId="0" xfId="0" applyNumberFormat="1" applyFont="1" applyFill="1" applyBorder="1"/>
    <xf numFmtId="0" fontId="6" fillId="0" borderId="0" xfId="0" applyFont="1" applyFill="1" applyBorder="1"/>
    <xf numFmtId="11" fontId="4" fillId="0" borderId="0" xfId="0" applyNumberFormat="1" applyFont="1" applyFill="1" applyBorder="1"/>
    <xf numFmtId="0" fontId="4" fillId="0" borderId="0" xfId="0" applyNumberFormat="1" applyFont="1" applyFill="1" applyBorder="1"/>
    <xf numFmtId="0" fontId="7" fillId="0" borderId="0" xfId="0" applyFont="1"/>
    <xf numFmtId="0" fontId="8" fillId="0" borderId="0" xfId="0" applyFont="1" applyFill="1" applyBorder="1"/>
    <xf numFmtId="0" fontId="4" fillId="0" borderId="0" xfId="0" applyFont="1" applyFill="1" applyAlignment="1">
      <alignment horizontal="left"/>
    </xf>
    <xf numFmtId="0" fontId="5" fillId="0" borderId="0" xfId="0" applyFont="1" applyFill="1"/>
    <xf numFmtId="11" fontId="4" fillId="0" borderId="0" xfId="0" applyNumberFormat="1" applyFont="1" applyFill="1"/>
    <xf numFmtId="0" fontId="4" fillId="0" borderId="0" xfId="0" applyNumberFormat="1" applyFont="1" applyFill="1"/>
    <xf numFmtId="0" fontId="4" fillId="3" borderId="0" xfId="0" applyFont="1" applyFill="1"/>
    <xf numFmtId="11" fontId="4" fillId="3" borderId="0" xfId="0" applyNumberFormat="1" applyFont="1" applyFill="1"/>
    <xf numFmtId="0" fontId="9" fillId="0" borderId="0" xfId="0" applyFont="1" applyFill="1" applyAlignment="1">
      <alignment horizontal="left" vertical="center" indent="1"/>
    </xf>
    <xf numFmtId="0" fontId="10" fillId="0" borderId="0" xfId="0" applyFont="1" applyFill="1" applyAlignment="1">
      <alignment horizontal="left" vertical="center" indent="8"/>
    </xf>
    <xf numFmtId="0" fontId="9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 indent="8"/>
    </xf>
    <xf numFmtId="0" fontId="9" fillId="0" borderId="0" xfId="0" applyFont="1" applyFill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5" fillId="2" borderId="0" xfId="0" applyFont="1" applyFill="1" applyBorder="1" applyAlignment="1"/>
    <xf numFmtId="164" fontId="5" fillId="2" borderId="0" xfId="0" applyNumberFormat="1" applyFont="1" applyFill="1" applyBorder="1" applyAlignment="1"/>
    <xf numFmtId="164" fontId="5" fillId="2" borderId="0" xfId="0" applyNumberFormat="1" applyFont="1" applyFill="1" applyBorder="1" applyAlignment="1">
      <alignment vertical="center"/>
    </xf>
    <xf numFmtId="164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164" fontId="5" fillId="3" borderId="0" xfId="0" applyNumberFormat="1" applyFont="1" applyFill="1" applyBorder="1" applyAlignment="1"/>
    <xf numFmtId="164" fontId="5" fillId="3" borderId="0" xfId="0" applyNumberFormat="1" applyFont="1" applyFill="1" applyBorder="1" applyAlignment="1">
      <alignment vertical="center"/>
    </xf>
    <xf numFmtId="164" fontId="12" fillId="3" borderId="0" xfId="0" applyNumberFormat="1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3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right" vertical="center"/>
    </xf>
    <xf numFmtId="17" fontId="5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165" fontId="4" fillId="0" borderId="0" xfId="0" applyNumberFormat="1" applyFont="1" applyFill="1" applyBorder="1" applyProtection="1">
      <protection locked="0"/>
    </xf>
    <xf numFmtId="0" fontId="5" fillId="4" borderId="0" xfId="0" applyFont="1" applyFill="1"/>
    <xf numFmtId="0" fontId="4" fillId="4" borderId="0" xfId="0" applyFont="1" applyFill="1" applyBorder="1"/>
    <xf numFmtId="0" fontId="4" fillId="4" borderId="0" xfId="0" applyNumberFormat="1" applyFont="1" applyFill="1" applyBorder="1"/>
    <xf numFmtId="0" fontId="4" fillId="4" borderId="0" xfId="0" applyFont="1" applyFill="1"/>
    <xf numFmtId="11" fontId="4" fillId="4" borderId="0" xfId="0" applyNumberFormat="1" applyFont="1" applyFill="1"/>
    <xf numFmtId="0" fontId="4" fillId="2" borderId="0" xfId="0" applyFont="1" applyFill="1"/>
    <xf numFmtId="11" fontId="4" fillId="2" borderId="0" xfId="0" applyNumberFormat="1" applyFont="1" applyFill="1"/>
    <xf numFmtId="0" fontId="4" fillId="5" borderId="0" xfId="0" applyFont="1" applyFill="1" applyBorder="1"/>
    <xf numFmtId="0" fontId="4" fillId="5" borderId="0" xfId="0" applyNumberFormat="1" applyFont="1" applyFill="1" applyBorder="1"/>
    <xf numFmtId="0" fontId="5" fillId="4" borderId="0" xfId="0" applyFont="1" applyFill="1" applyBorder="1" applyAlignment="1"/>
    <xf numFmtId="164" fontId="5" fillId="4" borderId="0" xfId="0" applyNumberFormat="1" applyFont="1" applyFill="1" applyBorder="1" applyAlignment="1"/>
    <xf numFmtId="164" fontId="5" fillId="4" borderId="0" xfId="0" applyNumberFormat="1" applyFont="1" applyFill="1" applyBorder="1" applyAlignment="1">
      <alignment vertical="center"/>
    </xf>
    <xf numFmtId="164" fontId="12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/>
    <xf numFmtId="0" fontId="5" fillId="4" borderId="0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horizontal="left" vertical="center" wrapText="1"/>
    </xf>
    <xf numFmtId="0" fontId="12" fillId="4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19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87"/>
  <sheetViews>
    <sheetView topLeftCell="A67" zoomScaleNormal="100" workbookViewId="0">
      <selection activeCell="L19" sqref="L19"/>
    </sheetView>
  </sheetViews>
  <sheetFormatPr defaultColWidth="11.5703125" defaultRowHeight="12.75"/>
  <cols>
    <col min="1" max="80" width="11.5703125" style="5"/>
    <col min="81" max="81" width="3.28515625" style="5" customWidth="1"/>
    <col min="82" max="16384" width="11.5703125" style="5"/>
  </cols>
  <sheetData>
    <row r="1" spans="1:82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</row>
    <row r="2" spans="1:82">
      <c r="A2" s="5" t="s">
        <v>37</v>
      </c>
      <c r="B2" s="5" t="s">
        <v>40</v>
      </c>
      <c r="C2" s="5" t="s">
        <v>100</v>
      </c>
      <c r="D2" s="5" t="s">
        <v>101</v>
      </c>
      <c r="E2" s="5" t="s">
        <v>99</v>
      </c>
      <c r="F2" s="5" t="s">
        <v>43</v>
      </c>
      <c r="G2" s="5" t="s">
        <v>46</v>
      </c>
      <c r="H2" s="5" t="s">
        <v>41</v>
      </c>
      <c r="I2" s="5" t="s">
        <v>102</v>
      </c>
      <c r="J2" s="5" t="s">
        <v>74</v>
      </c>
      <c r="K2" s="5" t="s">
        <v>73</v>
      </c>
      <c r="L2" s="5" t="s">
        <v>422</v>
      </c>
      <c r="M2" s="5" t="s">
        <v>510</v>
      </c>
      <c r="N2" s="5" t="s">
        <v>423</v>
      </c>
      <c r="O2" s="5" t="s">
        <v>424</v>
      </c>
      <c r="P2" s="5" t="s">
        <v>425</v>
      </c>
      <c r="Q2" s="5" t="s">
        <v>426</v>
      </c>
      <c r="R2" s="5" t="s">
        <v>427</v>
      </c>
      <c r="S2" s="5" t="s">
        <v>104</v>
      </c>
      <c r="T2" s="5" t="s">
        <v>105</v>
      </c>
      <c r="U2" s="5" t="s">
        <v>106</v>
      </c>
      <c r="V2" s="5" t="s">
        <v>511</v>
      </c>
      <c r="W2" s="5" t="s">
        <v>428</v>
      </c>
      <c r="X2" s="5" t="s">
        <v>430</v>
      </c>
      <c r="Y2" s="5" t="s">
        <v>187</v>
      </c>
      <c r="Z2" s="5" t="s">
        <v>186</v>
      </c>
      <c r="AA2" s="5" t="s">
        <v>512</v>
      </c>
      <c r="AB2" s="5" t="s">
        <v>432</v>
      </c>
      <c r="AC2" s="5" t="s">
        <v>434</v>
      </c>
      <c r="AD2" s="5" t="s">
        <v>436</v>
      </c>
      <c r="AE2" s="5" t="s">
        <v>439</v>
      </c>
      <c r="AF2" s="5" t="s">
        <v>111</v>
      </c>
      <c r="AG2" s="5" t="s">
        <v>513</v>
      </c>
      <c r="AH2" s="5" t="s">
        <v>110</v>
      </c>
      <c r="AI2" s="5" t="s">
        <v>109</v>
      </c>
      <c r="AJ2" s="5" t="s">
        <v>108</v>
      </c>
      <c r="AK2" s="5" t="s">
        <v>107</v>
      </c>
      <c r="AL2" s="5" t="s">
        <v>112</v>
      </c>
      <c r="AM2" s="5" t="s">
        <v>140</v>
      </c>
      <c r="AN2" s="5" t="s">
        <v>142</v>
      </c>
      <c r="AO2" s="5" t="s">
        <v>141</v>
      </c>
      <c r="AP2" s="5" t="s">
        <v>143</v>
      </c>
      <c r="AQ2" s="5" t="s">
        <v>144</v>
      </c>
      <c r="AR2" s="5" t="s">
        <v>76</v>
      </c>
      <c r="AS2" s="5" t="s">
        <v>459</v>
      </c>
      <c r="AT2" s="5" t="s">
        <v>460</v>
      </c>
      <c r="AU2" s="5" t="s">
        <v>85</v>
      </c>
      <c r="AV2" s="5" t="s">
        <v>461</v>
      </c>
      <c r="AW2" s="5" t="s">
        <v>462</v>
      </c>
      <c r="AX2" s="5" t="s">
        <v>145</v>
      </c>
      <c r="AY2" s="5" t="s">
        <v>463</v>
      </c>
      <c r="AZ2" s="5" t="s">
        <v>464</v>
      </c>
      <c r="BA2" s="5" t="s">
        <v>465</v>
      </c>
      <c r="BB2" s="5" t="s">
        <v>466</v>
      </c>
      <c r="BC2" s="5" t="s">
        <v>44</v>
      </c>
      <c r="BD2" s="5" t="s">
        <v>45</v>
      </c>
      <c r="BE2" s="5" t="s">
        <v>47</v>
      </c>
      <c r="BF2" s="5" t="s">
        <v>441</v>
      </c>
      <c r="BG2" s="5" t="s">
        <v>442</v>
      </c>
      <c r="BH2" s="5" t="s">
        <v>443</v>
      </c>
      <c r="BI2" s="5" t="s">
        <v>444</v>
      </c>
      <c r="BJ2" s="5" t="s">
        <v>445</v>
      </c>
      <c r="BK2" s="5" t="s">
        <v>446</v>
      </c>
      <c r="BL2" s="5" t="s">
        <v>447</v>
      </c>
      <c r="BM2" s="5" t="s">
        <v>448</v>
      </c>
      <c r="BN2" s="5" t="s">
        <v>449</v>
      </c>
      <c r="BO2" s="5" t="s">
        <v>450</v>
      </c>
      <c r="BP2" s="5" t="s">
        <v>451</v>
      </c>
      <c r="BQ2" s="5" t="s">
        <v>452</v>
      </c>
      <c r="BR2" s="5" t="s">
        <v>453</v>
      </c>
      <c r="BS2" s="5" t="s">
        <v>454</v>
      </c>
      <c r="BT2" s="5" t="s">
        <v>455</v>
      </c>
      <c r="BU2" s="5" t="s">
        <v>456</v>
      </c>
      <c r="BV2" s="5" t="s">
        <v>175</v>
      </c>
      <c r="BW2" s="5" t="s">
        <v>515</v>
      </c>
      <c r="BX2" s="5" t="s">
        <v>95</v>
      </c>
      <c r="BY2" s="5" t="s">
        <v>96</v>
      </c>
      <c r="BZ2" s="5" t="s">
        <v>94</v>
      </c>
      <c r="CA2" s="5" t="s">
        <v>176</v>
      </c>
      <c r="CB2" s="5" t="s">
        <v>97</v>
      </c>
    </row>
    <row r="3" spans="1:82" ht="15">
      <c r="A3" s="6">
        <v>1</v>
      </c>
      <c r="B3" s="5">
        <v>2012</v>
      </c>
      <c r="C3" s="5">
        <v>85</v>
      </c>
      <c r="D3" s="5">
        <v>302</v>
      </c>
      <c r="E3" s="21">
        <v>51.51</v>
      </c>
      <c r="F3" s="5">
        <v>0.13</v>
      </c>
      <c r="G3">
        <v>3716.0079999999998</v>
      </c>
      <c r="H3" s="5">
        <v>8</v>
      </c>
      <c r="I3" s="5">
        <v>1</v>
      </c>
      <c r="J3" s="5">
        <v>0</v>
      </c>
      <c r="K3" s="5">
        <v>0</v>
      </c>
      <c r="L3">
        <v>0.21740000000000001</v>
      </c>
      <c r="M3">
        <v>0.15240000000000001</v>
      </c>
      <c r="N3">
        <v>3.6299999999999999E-2</v>
      </c>
      <c r="O3">
        <v>0.14499999999999999</v>
      </c>
      <c r="P3">
        <v>0.3024</v>
      </c>
      <c r="Q3">
        <v>0.1198</v>
      </c>
      <c r="R3">
        <v>2.6700000000000002E-2</v>
      </c>
      <c r="S3" s="5">
        <v>0</v>
      </c>
      <c r="T3" s="5">
        <v>0</v>
      </c>
      <c r="U3" s="5">
        <v>0</v>
      </c>
      <c r="V3" s="5">
        <v>10</v>
      </c>
      <c r="W3" s="5">
        <v>8</v>
      </c>
      <c r="X3" s="5">
        <v>8</v>
      </c>
      <c r="Y3" s="5">
        <v>-999</v>
      </c>
      <c r="Z3" s="5">
        <v>-999</v>
      </c>
      <c r="AA3" s="5">
        <v>-999</v>
      </c>
      <c r="AB3" s="5">
        <v>-999</v>
      </c>
      <c r="AC3" s="5">
        <v>-999</v>
      </c>
      <c r="AD3" s="67">
        <v>45.510397178908121</v>
      </c>
      <c r="AE3" s="67">
        <v>50.029763122146136</v>
      </c>
      <c r="AF3" s="5">
        <v>33661</v>
      </c>
      <c r="AG3" s="5">
        <v>33662</v>
      </c>
      <c r="AH3" s="5">
        <v>33661</v>
      </c>
      <c r="AI3" s="5">
        <v>33662</v>
      </c>
      <c r="AJ3" s="5">
        <v>33663</v>
      </c>
      <c r="AK3" s="5">
        <v>33663</v>
      </c>
      <c r="AL3" s="5">
        <v>33661</v>
      </c>
      <c r="AM3" s="5">
        <v>0.25</v>
      </c>
      <c r="AN3" s="5">
        <v>1</v>
      </c>
      <c r="AO3" s="5">
        <v>10</v>
      </c>
      <c r="AP3" s="5">
        <v>1</v>
      </c>
      <c r="AQ3" s="5">
        <v>100</v>
      </c>
      <c r="AR3" s="5">
        <v>33660</v>
      </c>
      <c r="AS3" s="5">
        <v>99999</v>
      </c>
      <c r="AT3" s="5">
        <v>99999</v>
      </c>
      <c r="AU3" s="5">
        <v>33661</v>
      </c>
      <c r="AV3" s="5">
        <v>33661</v>
      </c>
      <c r="AW3" s="5">
        <v>33662</v>
      </c>
      <c r="AX3" s="5">
        <v>99999</v>
      </c>
      <c r="AY3" s="5">
        <v>99999</v>
      </c>
      <c r="AZ3" s="5">
        <v>99999</v>
      </c>
      <c r="BA3" s="5">
        <v>99999</v>
      </c>
      <c r="BB3" s="5">
        <v>99999</v>
      </c>
      <c r="BC3" s="5">
        <v>0</v>
      </c>
      <c r="BD3" s="5">
        <v>0</v>
      </c>
      <c r="BE3" s="5">
        <v>100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21">
        <v>33661</v>
      </c>
      <c r="BW3" s="5">
        <v>33662</v>
      </c>
      <c r="BX3" s="21">
        <v>33663</v>
      </c>
      <c r="BY3" s="5">
        <v>33664</v>
      </c>
      <c r="BZ3" s="21">
        <v>33665</v>
      </c>
      <c r="CA3" s="5">
        <v>33666</v>
      </c>
      <c r="CB3" s="21">
        <v>33667</v>
      </c>
      <c r="CC3" s="6" t="s">
        <v>16</v>
      </c>
      <c r="CD3" s="6" t="s">
        <v>536</v>
      </c>
    </row>
    <row r="4" spans="1:82">
      <c r="A4" s="5">
        <v>-9</v>
      </c>
    </row>
    <row r="5" spans="1:82">
      <c r="A5" s="5">
        <v>-9</v>
      </c>
    </row>
    <row r="8" spans="1:82">
      <c r="A8" s="5" t="s">
        <v>16</v>
      </c>
      <c r="B8" s="5">
        <v>1</v>
      </c>
      <c r="C8" s="5" t="s">
        <v>75</v>
      </c>
      <c r="D8" s="5" t="s">
        <v>37</v>
      </c>
      <c r="G8" s="5" t="s">
        <v>196</v>
      </c>
    </row>
    <row r="9" spans="1:82">
      <c r="A9" s="5" t="s">
        <v>16</v>
      </c>
      <c r="B9" s="5">
        <v>2</v>
      </c>
      <c r="C9" s="5" t="s">
        <v>40</v>
      </c>
      <c r="D9" s="5" t="s">
        <v>40</v>
      </c>
      <c r="G9" s="5" t="s">
        <v>195</v>
      </c>
    </row>
    <row r="10" spans="1:82">
      <c r="A10" s="5" t="s">
        <v>16</v>
      </c>
      <c r="B10" s="5">
        <v>3</v>
      </c>
      <c r="C10" s="5" t="s">
        <v>100</v>
      </c>
      <c r="D10" s="5" t="s">
        <v>188</v>
      </c>
      <c r="G10" s="5" t="s">
        <v>193</v>
      </c>
    </row>
    <row r="11" spans="1:82">
      <c r="A11" s="5" t="s">
        <v>16</v>
      </c>
      <c r="B11" s="5">
        <v>4</v>
      </c>
      <c r="C11" s="5" t="s">
        <v>101</v>
      </c>
      <c r="D11" s="5" t="s">
        <v>189</v>
      </c>
      <c r="G11" s="5" t="s">
        <v>193</v>
      </c>
    </row>
    <row r="12" spans="1:82">
      <c r="A12" s="5" t="s">
        <v>16</v>
      </c>
      <c r="B12" s="5">
        <v>5</v>
      </c>
      <c r="C12" s="5" t="s">
        <v>99</v>
      </c>
      <c r="D12" s="5" t="s">
        <v>190</v>
      </c>
      <c r="G12" s="5" t="s">
        <v>194</v>
      </c>
    </row>
    <row r="13" spans="1:82">
      <c r="A13" s="5" t="s">
        <v>16</v>
      </c>
      <c r="B13" s="5">
        <v>6</v>
      </c>
      <c r="C13" s="5" t="s">
        <v>43</v>
      </c>
      <c r="D13" s="5" t="s">
        <v>66</v>
      </c>
      <c r="G13" s="5" t="s">
        <v>194</v>
      </c>
    </row>
    <row r="14" spans="1:82">
      <c r="A14" s="5" t="s">
        <v>16</v>
      </c>
      <c r="B14" s="5">
        <v>7</v>
      </c>
      <c r="C14" s="5" t="s">
        <v>46</v>
      </c>
      <c r="D14" s="5" t="s">
        <v>46</v>
      </c>
      <c r="G14" s="5" t="s">
        <v>191</v>
      </c>
    </row>
    <row r="15" spans="1:82">
      <c r="A15" s="5" t="s">
        <v>16</v>
      </c>
      <c r="B15" s="5">
        <v>8</v>
      </c>
      <c r="C15" s="5" t="s">
        <v>41</v>
      </c>
      <c r="D15" s="5" t="s">
        <v>67</v>
      </c>
      <c r="G15" s="5" t="s">
        <v>192</v>
      </c>
    </row>
    <row r="16" spans="1:82">
      <c r="A16" s="5" t="s">
        <v>16</v>
      </c>
      <c r="B16" s="5">
        <v>9</v>
      </c>
      <c r="C16" s="5" t="s">
        <v>102</v>
      </c>
      <c r="D16" s="5" t="s">
        <v>197</v>
      </c>
      <c r="G16" s="5" t="s">
        <v>193</v>
      </c>
      <c r="I16" s="5" t="s">
        <v>200</v>
      </c>
    </row>
    <row r="17" spans="1:9">
      <c r="A17" s="5" t="s">
        <v>16</v>
      </c>
      <c r="B17" s="5">
        <v>10</v>
      </c>
      <c r="C17" s="5" t="s">
        <v>74</v>
      </c>
      <c r="D17" s="5" t="s">
        <v>198</v>
      </c>
      <c r="I17" s="5" t="s">
        <v>201</v>
      </c>
    </row>
    <row r="18" spans="1:9">
      <c r="A18" s="5" t="s">
        <v>16</v>
      </c>
      <c r="B18" s="5">
        <v>11</v>
      </c>
      <c r="C18" s="5" t="s">
        <v>73</v>
      </c>
      <c r="D18" s="5" t="s">
        <v>199</v>
      </c>
      <c r="I18" s="5" t="s">
        <v>201</v>
      </c>
    </row>
    <row r="19" spans="1:9">
      <c r="A19" s="5" t="s">
        <v>16</v>
      </c>
      <c r="B19" s="5">
        <v>12</v>
      </c>
      <c r="C19" s="5" t="s">
        <v>422</v>
      </c>
      <c r="D19" s="5" t="s">
        <v>202</v>
      </c>
    </row>
    <row r="20" spans="1:9">
      <c r="A20" s="5" t="s">
        <v>16</v>
      </c>
      <c r="B20" s="5">
        <v>13</v>
      </c>
      <c r="C20" s="5" t="s">
        <v>510</v>
      </c>
      <c r="D20" s="5" t="s">
        <v>202</v>
      </c>
    </row>
    <row r="21" spans="1:9">
      <c r="A21" s="5" t="s">
        <v>16</v>
      </c>
      <c r="B21" s="5">
        <v>14</v>
      </c>
      <c r="C21" s="5" t="s">
        <v>423</v>
      </c>
      <c r="D21" s="5" t="s">
        <v>202</v>
      </c>
    </row>
    <row r="22" spans="1:9">
      <c r="A22" s="5" t="s">
        <v>16</v>
      </c>
      <c r="B22" s="5">
        <v>15</v>
      </c>
      <c r="C22" s="5" t="s">
        <v>424</v>
      </c>
      <c r="D22" s="5" t="s">
        <v>202</v>
      </c>
    </row>
    <row r="23" spans="1:9">
      <c r="A23" s="5" t="s">
        <v>16</v>
      </c>
      <c r="B23" s="5">
        <v>16</v>
      </c>
      <c r="C23" s="5" t="s">
        <v>425</v>
      </c>
      <c r="D23" s="5" t="s">
        <v>202</v>
      </c>
    </row>
    <row r="24" spans="1:9">
      <c r="A24" s="5" t="s">
        <v>16</v>
      </c>
      <c r="B24" s="5">
        <v>17</v>
      </c>
      <c r="C24" s="5" t="s">
        <v>426</v>
      </c>
      <c r="D24" s="5" t="s">
        <v>202</v>
      </c>
    </row>
    <row r="25" spans="1:9">
      <c r="A25" s="5" t="s">
        <v>16</v>
      </c>
      <c r="B25" s="5">
        <v>18</v>
      </c>
      <c r="C25" s="5" t="s">
        <v>427</v>
      </c>
      <c r="D25" s="5" t="s">
        <v>202</v>
      </c>
    </row>
    <row r="26" spans="1:9">
      <c r="A26" s="5" t="s">
        <v>16</v>
      </c>
      <c r="B26" s="5">
        <v>19</v>
      </c>
      <c r="C26" s="5" t="s">
        <v>104</v>
      </c>
      <c r="D26" s="5" t="s">
        <v>203</v>
      </c>
    </row>
    <row r="27" spans="1:9">
      <c r="A27" s="5" t="s">
        <v>16</v>
      </c>
      <c r="B27" s="5">
        <v>20</v>
      </c>
      <c r="C27" s="5" t="s">
        <v>105</v>
      </c>
      <c r="D27" s="5" t="s">
        <v>204</v>
      </c>
    </row>
    <row r="28" spans="1:9">
      <c r="A28" s="5" t="s">
        <v>16</v>
      </c>
      <c r="B28" s="5">
        <v>21</v>
      </c>
      <c r="C28" s="5" t="s">
        <v>106</v>
      </c>
      <c r="D28" s="5" t="s">
        <v>205</v>
      </c>
    </row>
    <row r="29" spans="1:9">
      <c r="A29" s="5" t="s">
        <v>16</v>
      </c>
      <c r="B29" s="5">
        <v>22</v>
      </c>
      <c r="C29" s="5" t="s">
        <v>511</v>
      </c>
      <c r="D29" s="5" t="s">
        <v>206</v>
      </c>
      <c r="G29" s="5" t="s">
        <v>192</v>
      </c>
    </row>
    <row r="30" spans="1:9">
      <c r="A30" s="5" t="s">
        <v>16</v>
      </c>
      <c r="B30" s="5">
        <v>23</v>
      </c>
      <c r="C30" s="5" t="s">
        <v>428</v>
      </c>
      <c r="D30" s="5" t="s">
        <v>429</v>
      </c>
      <c r="G30" s="5" t="s">
        <v>192</v>
      </c>
    </row>
    <row r="31" spans="1:9">
      <c r="A31" s="5" t="s">
        <v>16</v>
      </c>
      <c r="B31" s="5">
        <v>24</v>
      </c>
      <c r="C31" s="5" t="s">
        <v>430</v>
      </c>
      <c r="D31" s="5" t="s">
        <v>431</v>
      </c>
      <c r="G31" s="5" t="s">
        <v>192</v>
      </c>
    </row>
    <row r="32" spans="1:9">
      <c r="A32" s="5" t="s">
        <v>16</v>
      </c>
      <c r="B32" s="5">
        <v>25</v>
      </c>
      <c r="C32" s="5" t="s">
        <v>187</v>
      </c>
      <c r="D32" s="5" t="s">
        <v>207</v>
      </c>
      <c r="G32" s="5" t="s">
        <v>192</v>
      </c>
    </row>
    <row r="33" spans="1:9">
      <c r="A33" s="5" t="s">
        <v>16</v>
      </c>
      <c r="B33" s="5">
        <v>26</v>
      </c>
      <c r="C33" s="5" t="s">
        <v>186</v>
      </c>
      <c r="D33" s="5" t="s">
        <v>208</v>
      </c>
      <c r="G33" s="5" t="s">
        <v>192</v>
      </c>
    </row>
    <row r="34" spans="1:9">
      <c r="A34" s="5" t="s">
        <v>16</v>
      </c>
      <c r="B34" s="5">
        <v>27</v>
      </c>
      <c r="C34" s="5" t="s">
        <v>512</v>
      </c>
      <c r="D34" s="5" t="s">
        <v>209</v>
      </c>
    </row>
    <row r="35" spans="1:9">
      <c r="A35" s="5" t="s">
        <v>16</v>
      </c>
      <c r="B35" s="5">
        <v>28</v>
      </c>
      <c r="C35" s="5" t="s">
        <v>432</v>
      </c>
      <c r="D35" s="5" t="s">
        <v>433</v>
      </c>
    </row>
    <row r="36" spans="1:9">
      <c r="A36" s="5" t="s">
        <v>16</v>
      </c>
      <c r="B36" s="5">
        <v>29</v>
      </c>
      <c r="C36" s="5" t="s">
        <v>434</v>
      </c>
      <c r="D36" s="5" t="s">
        <v>435</v>
      </c>
    </row>
    <row r="37" spans="1:9">
      <c r="A37" s="5" t="s">
        <v>16</v>
      </c>
      <c r="B37" s="5">
        <v>30</v>
      </c>
      <c r="C37" s="5" t="s">
        <v>436</v>
      </c>
      <c r="D37" s="5" t="s">
        <v>437</v>
      </c>
      <c r="G37" s="5" t="s">
        <v>438</v>
      </c>
    </row>
    <row r="38" spans="1:9">
      <c r="A38" s="5" t="s">
        <v>16</v>
      </c>
      <c r="B38" s="5">
        <v>31</v>
      </c>
      <c r="C38" s="5" t="s">
        <v>439</v>
      </c>
      <c r="D38" s="5" t="s">
        <v>440</v>
      </c>
      <c r="G38" s="5" t="s">
        <v>438</v>
      </c>
    </row>
    <row r="39" spans="1:9">
      <c r="A39" s="5" t="s">
        <v>16</v>
      </c>
      <c r="B39" s="5">
        <v>32</v>
      </c>
      <c r="C39" s="5" t="s">
        <v>111</v>
      </c>
      <c r="D39" s="5" t="s">
        <v>217</v>
      </c>
      <c r="I39" s="5" t="s">
        <v>485</v>
      </c>
    </row>
    <row r="40" spans="1:9">
      <c r="A40" s="5" t="s">
        <v>16</v>
      </c>
      <c r="B40" s="5">
        <v>33</v>
      </c>
      <c r="C40" s="5" t="s">
        <v>513</v>
      </c>
      <c r="D40" s="5" t="s">
        <v>514</v>
      </c>
      <c r="I40" s="5" t="s">
        <v>485</v>
      </c>
    </row>
    <row r="41" spans="1:9">
      <c r="A41" s="5" t="s">
        <v>16</v>
      </c>
      <c r="B41" s="5">
        <v>34</v>
      </c>
      <c r="C41" s="5" t="s">
        <v>110</v>
      </c>
      <c r="D41" s="5" t="s">
        <v>218</v>
      </c>
      <c r="I41" s="5" t="s">
        <v>487</v>
      </c>
    </row>
    <row r="42" spans="1:9">
      <c r="A42" s="5" t="s">
        <v>16</v>
      </c>
      <c r="B42" s="5">
        <v>35</v>
      </c>
      <c r="C42" s="5" t="s">
        <v>109</v>
      </c>
      <c r="D42" s="5" t="s">
        <v>219</v>
      </c>
      <c r="I42" s="5" t="s">
        <v>487</v>
      </c>
    </row>
    <row r="43" spans="1:9">
      <c r="A43" s="5" t="s">
        <v>16</v>
      </c>
      <c r="B43" s="5">
        <v>36</v>
      </c>
      <c r="C43" s="5" t="s">
        <v>108</v>
      </c>
      <c r="D43" s="5" t="s">
        <v>220</v>
      </c>
      <c r="I43" s="5" t="s">
        <v>487</v>
      </c>
    </row>
    <row r="44" spans="1:9">
      <c r="A44" s="5" t="s">
        <v>16</v>
      </c>
      <c r="B44" s="5">
        <v>37</v>
      </c>
      <c r="C44" s="5" t="s">
        <v>107</v>
      </c>
      <c r="D44" s="5" t="s">
        <v>221</v>
      </c>
      <c r="I44" s="5" t="s">
        <v>487</v>
      </c>
    </row>
    <row r="45" spans="1:9">
      <c r="A45" s="5" t="s">
        <v>16</v>
      </c>
      <c r="B45" s="5">
        <v>38</v>
      </c>
      <c r="C45" s="5" t="s">
        <v>112</v>
      </c>
      <c r="D45" s="5" t="s">
        <v>222</v>
      </c>
      <c r="I45" s="5" t="s">
        <v>210</v>
      </c>
    </row>
    <row r="46" spans="1:9">
      <c r="A46" s="5" t="s">
        <v>16</v>
      </c>
      <c r="B46" s="5">
        <v>39</v>
      </c>
      <c r="C46" s="5" t="s">
        <v>140</v>
      </c>
      <c r="D46" s="5" t="s">
        <v>211</v>
      </c>
      <c r="G46" s="5" t="s">
        <v>212</v>
      </c>
    </row>
    <row r="47" spans="1:9">
      <c r="A47" s="5" t="s">
        <v>16</v>
      </c>
      <c r="B47" s="5">
        <v>40</v>
      </c>
      <c r="C47" s="5" t="s">
        <v>142</v>
      </c>
      <c r="D47" s="5" t="s">
        <v>214</v>
      </c>
      <c r="G47" s="5" t="s">
        <v>213</v>
      </c>
    </row>
    <row r="48" spans="1:9">
      <c r="A48" s="5" t="s">
        <v>16</v>
      </c>
      <c r="B48" s="5">
        <v>41</v>
      </c>
      <c r="C48" s="5" t="s">
        <v>141</v>
      </c>
      <c r="D48" s="5" t="s">
        <v>215</v>
      </c>
      <c r="G48" s="5" t="s">
        <v>213</v>
      </c>
    </row>
    <row r="49" spans="1:9">
      <c r="A49" s="5" t="s">
        <v>16</v>
      </c>
      <c r="B49" s="5">
        <v>42</v>
      </c>
      <c r="C49" s="5" t="s">
        <v>143</v>
      </c>
      <c r="D49" s="5" t="s">
        <v>216</v>
      </c>
    </row>
    <row r="50" spans="1:9">
      <c r="A50" s="5" t="s">
        <v>16</v>
      </c>
      <c r="B50" s="5">
        <v>43</v>
      </c>
      <c r="C50" s="5" t="s">
        <v>144</v>
      </c>
      <c r="D50" s="5" t="s">
        <v>225</v>
      </c>
      <c r="I50" s="5" t="s">
        <v>223</v>
      </c>
    </row>
    <row r="51" spans="1:9">
      <c r="A51" s="5" t="s">
        <v>16</v>
      </c>
      <c r="B51" s="5">
        <v>44</v>
      </c>
      <c r="C51" s="5" t="s">
        <v>76</v>
      </c>
      <c r="D51" s="5" t="s">
        <v>226</v>
      </c>
      <c r="I51" s="5" t="s">
        <v>224</v>
      </c>
    </row>
    <row r="52" spans="1:9">
      <c r="A52" s="5" t="s">
        <v>16</v>
      </c>
      <c r="B52" s="5">
        <v>45</v>
      </c>
      <c r="C52" s="5" t="s">
        <v>459</v>
      </c>
      <c r="D52" s="5" t="s">
        <v>489</v>
      </c>
      <c r="I52" s="5" t="s">
        <v>227</v>
      </c>
    </row>
    <row r="53" spans="1:9">
      <c r="A53" s="5" t="s">
        <v>16</v>
      </c>
      <c r="B53" s="5">
        <v>46</v>
      </c>
      <c r="C53" s="5" t="s">
        <v>460</v>
      </c>
      <c r="D53" s="5" t="s">
        <v>490</v>
      </c>
      <c r="I53" s="5" t="s">
        <v>227</v>
      </c>
    </row>
    <row r="54" spans="1:9">
      <c r="A54" s="5" t="s">
        <v>16</v>
      </c>
      <c r="B54" s="5">
        <v>47</v>
      </c>
      <c r="C54" s="5" t="s">
        <v>85</v>
      </c>
      <c r="D54" s="5" t="s">
        <v>228</v>
      </c>
      <c r="I54" s="5" t="s">
        <v>229</v>
      </c>
    </row>
    <row r="55" spans="1:9">
      <c r="A55" s="5" t="s">
        <v>16</v>
      </c>
      <c r="B55" s="5">
        <v>48</v>
      </c>
      <c r="C55" s="5" t="s">
        <v>461</v>
      </c>
      <c r="D55" s="5" t="s">
        <v>491</v>
      </c>
      <c r="I55" s="5" t="s">
        <v>227</v>
      </c>
    </row>
    <row r="56" spans="1:9">
      <c r="A56" s="5" t="s">
        <v>16</v>
      </c>
      <c r="B56" s="5">
        <v>49</v>
      </c>
      <c r="C56" s="5" t="s">
        <v>462</v>
      </c>
      <c r="D56" s="5" t="s">
        <v>492</v>
      </c>
      <c r="I56" s="5" t="s">
        <v>227</v>
      </c>
    </row>
    <row r="57" spans="1:9">
      <c r="A57" s="5" t="s">
        <v>16</v>
      </c>
      <c r="B57" s="5">
        <v>50</v>
      </c>
      <c r="C57" s="5" t="s">
        <v>145</v>
      </c>
      <c r="D57" s="5" t="s">
        <v>231</v>
      </c>
      <c r="I57" s="5" t="s">
        <v>230</v>
      </c>
    </row>
    <row r="58" spans="1:9">
      <c r="A58" s="5" t="s">
        <v>16</v>
      </c>
      <c r="B58" s="5">
        <v>51</v>
      </c>
      <c r="C58" s="5" t="s">
        <v>463</v>
      </c>
      <c r="D58" s="5" t="s">
        <v>493</v>
      </c>
      <c r="I58" s="5" t="s">
        <v>227</v>
      </c>
    </row>
    <row r="59" spans="1:9">
      <c r="A59" s="5" t="s">
        <v>16</v>
      </c>
      <c r="B59" s="5">
        <v>52</v>
      </c>
      <c r="C59" s="5" t="s">
        <v>464</v>
      </c>
      <c r="D59" s="5" t="s">
        <v>494</v>
      </c>
      <c r="I59" s="5" t="s">
        <v>227</v>
      </c>
    </row>
    <row r="60" spans="1:9">
      <c r="A60" s="5" t="s">
        <v>16</v>
      </c>
      <c r="B60" s="5">
        <v>53</v>
      </c>
      <c r="C60" s="5" t="s">
        <v>465</v>
      </c>
      <c r="D60" s="5" t="s">
        <v>495</v>
      </c>
      <c r="I60" s="5" t="s">
        <v>227</v>
      </c>
    </row>
    <row r="61" spans="1:9">
      <c r="A61" s="5" t="s">
        <v>16</v>
      </c>
      <c r="B61" s="5">
        <v>54</v>
      </c>
      <c r="C61" s="5" t="s">
        <v>466</v>
      </c>
      <c r="D61" s="5" t="s">
        <v>496</v>
      </c>
      <c r="I61" s="5" t="s">
        <v>227</v>
      </c>
    </row>
    <row r="62" spans="1:9">
      <c r="A62" s="5" t="s">
        <v>16</v>
      </c>
      <c r="B62" s="5">
        <v>55</v>
      </c>
      <c r="C62" s="5" t="s">
        <v>44</v>
      </c>
      <c r="D62" s="5" t="s">
        <v>232</v>
      </c>
      <c r="G62" s="5" t="s">
        <v>212</v>
      </c>
    </row>
    <row r="63" spans="1:9">
      <c r="A63" s="5" t="s">
        <v>16</v>
      </c>
      <c r="B63" s="5">
        <v>56</v>
      </c>
      <c r="C63" s="5" t="s">
        <v>45</v>
      </c>
      <c r="D63" s="5" t="s">
        <v>233</v>
      </c>
    </row>
    <row r="64" spans="1:9">
      <c r="A64" s="5" t="s">
        <v>16</v>
      </c>
      <c r="B64" s="5">
        <v>57</v>
      </c>
      <c r="C64" s="5" t="s">
        <v>47</v>
      </c>
      <c r="D64" s="5" t="s">
        <v>234</v>
      </c>
      <c r="G64" s="5" t="s">
        <v>213</v>
      </c>
    </row>
    <row r="65" spans="1:9">
      <c r="A65" s="5" t="s">
        <v>16</v>
      </c>
      <c r="B65" s="5">
        <v>58</v>
      </c>
      <c r="C65" s="5" t="s">
        <v>441</v>
      </c>
      <c r="D65" s="5" t="s">
        <v>236</v>
      </c>
      <c r="I65" s="5" t="s">
        <v>235</v>
      </c>
    </row>
    <row r="66" spans="1:9">
      <c r="A66" s="5" t="s">
        <v>16</v>
      </c>
      <c r="B66" s="5">
        <v>59</v>
      </c>
      <c r="C66" s="5" t="s">
        <v>442</v>
      </c>
      <c r="D66" s="5" t="s">
        <v>237</v>
      </c>
      <c r="I66" s="5" t="s">
        <v>235</v>
      </c>
    </row>
    <row r="67" spans="1:9">
      <c r="A67" s="5" t="s">
        <v>16</v>
      </c>
      <c r="B67" s="5">
        <v>60</v>
      </c>
      <c r="C67" s="5" t="s">
        <v>443</v>
      </c>
      <c r="D67" s="5" t="s">
        <v>236</v>
      </c>
      <c r="I67" s="5" t="s">
        <v>235</v>
      </c>
    </row>
    <row r="68" spans="1:9">
      <c r="A68" s="5" t="s">
        <v>16</v>
      </c>
      <c r="B68" s="5">
        <v>61</v>
      </c>
      <c r="C68" s="5" t="s">
        <v>444</v>
      </c>
      <c r="D68" s="5" t="s">
        <v>238</v>
      </c>
      <c r="I68" s="5" t="s">
        <v>235</v>
      </c>
    </row>
    <row r="69" spans="1:9">
      <c r="A69" s="5" t="s">
        <v>16</v>
      </c>
      <c r="B69" s="5">
        <v>62</v>
      </c>
      <c r="C69" s="5" t="s">
        <v>445</v>
      </c>
      <c r="D69" s="5" t="s">
        <v>236</v>
      </c>
      <c r="I69" s="5" t="s">
        <v>235</v>
      </c>
    </row>
    <row r="70" spans="1:9">
      <c r="A70" s="5" t="s">
        <v>16</v>
      </c>
      <c r="B70" s="5">
        <v>63</v>
      </c>
      <c r="C70" s="5" t="s">
        <v>446</v>
      </c>
      <c r="D70" s="5" t="s">
        <v>239</v>
      </c>
      <c r="I70" s="5" t="s">
        <v>235</v>
      </c>
    </row>
    <row r="71" spans="1:9">
      <c r="A71" s="5" t="s">
        <v>16</v>
      </c>
      <c r="B71" s="5">
        <v>64</v>
      </c>
      <c r="C71" s="5" t="s">
        <v>447</v>
      </c>
      <c r="D71" s="5" t="s">
        <v>236</v>
      </c>
      <c r="I71" s="5" t="s">
        <v>235</v>
      </c>
    </row>
    <row r="72" spans="1:9">
      <c r="A72" s="5" t="s">
        <v>16</v>
      </c>
      <c r="B72" s="5">
        <v>65</v>
      </c>
      <c r="C72" s="5" t="s">
        <v>448</v>
      </c>
      <c r="D72" s="5" t="s">
        <v>240</v>
      </c>
      <c r="I72" s="5" t="s">
        <v>235</v>
      </c>
    </row>
    <row r="73" spans="1:9">
      <c r="A73" s="5" t="s">
        <v>16</v>
      </c>
      <c r="B73" s="5">
        <v>66</v>
      </c>
      <c r="C73" s="5" t="s">
        <v>449</v>
      </c>
      <c r="D73" s="5" t="s">
        <v>236</v>
      </c>
      <c r="I73" s="5" t="s">
        <v>235</v>
      </c>
    </row>
    <row r="74" spans="1:9">
      <c r="A74" s="5" t="s">
        <v>16</v>
      </c>
      <c r="B74" s="5">
        <v>67</v>
      </c>
      <c r="C74" s="5" t="s">
        <v>450</v>
      </c>
      <c r="D74" s="5" t="s">
        <v>241</v>
      </c>
      <c r="I74" s="5" t="s">
        <v>235</v>
      </c>
    </row>
    <row r="75" spans="1:9">
      <c r="A75" s="5" t="s">
        <v>16</v>
      </c>
      <c r="B75" s="5">
        <v>68</v>
      </c>
      <c r="C75" s="5" t="s">
        <v>451</v>
      </c>
      <c r="D75" s="5" t="s">
        <v>236</v>
      </c>
      <c r="I75" s="5" t="s">
        <v>235</v>
      </c>
    </row>
    <row r="76" spans="1:9">
      <c r="A76" s="5" t="s">
        <v>16</v>
      </c>
      <c r="B76" s="5">
        <v>69</v>
      </c>
      <c r="C76" s="5" t="s">
        <v>452</v>
      </c>
      <c r="D76" s="5" t="s">
        <v>242</v>
      </c>
      <c r="I76" s="5" t="s">
        <v>235</v>
      </c>
    </row>
    <row r="77" spans="1:9">
      <c r="A77" s="5" t="s">
        <v>16</v>
      </c>
      <c r="B77" s="5">
        <v>70</v>
      </c>
      <c r="C77" s="5" t="s">
        <v>453</v>
      </c>
      <c r="D77" s="5" t="s">
        <v>236</v>
      </c>
      <c r="I77" s="5" t="s">
        <v>235</v>
      </c>
    </row>
    <row r="78" spans="1:9">
      <c r="A78" s="5" t="s">
        <v>16</v>
      </c>
      <c r="B78" s="5">
        <v>71</v>
      </c>
      <c r="C78" s="5" t="s">
        <v>454</v>
      </c>
      <c r="D78" s="5" t="s">
        <v>243</v>
      </c>
      <c r="I78" s="5" t="s">
        <v>235</v>
      </c>
    </row>
    <row r="79" spans="1:9">
      <c r="A79" s="5" t="s">
        <v>16</v>
      </c>
      <c r="B79" s="5">
        <v>72</v>
      </c>
      <c r="C79" s="5" t="s">
        <v>455</v>
      </c>
      <c r="D79" s="5" t="s">
        <v>236</v>
      </c>
      <c r="I79" s="5" t="s">
        <v>235</v>
      </c>
    </row>
    <row r="80" spans="1:9">
      <c r="A80" s="5" t="s">
        <v>16</v>
      </c>
      <c r="B80" s="5">
        <v>73</v>
      </c>
      <c r="C80" s="5" t="s">
        <v>456</v>
      </c>
      <c r="D80" s="5" t="s">
        <v>244</v>
      </c>
      <c r="I80" s="5" t="s">
        <v>235</v>
      </c>
    </row>
    <row r="81" spans="1:9">
      <c r="A81" s="5" t="s">
        <v>16</v>
      </c>
      <c r="B81" s="5">
        <v>74</v>
      </c>
      <c r="C81" s="5" t="s">
        <v>175</v>
      </c>
      <c r="D81" s="5" t="s">
        <v>497</v>
      </c>
      <c r="I81" s="5" t="s">
        <v>245</v>
      </c>
    </row>
    <row r="82" spans="1:9">
      <c r="A82" s="5" t="s">
        <v>16</v>
      </c>
      <c r="B82" s="5">
        <v>75</v>
      </c>
      <c r="C82" s="5" t="s">
        <v>515</v>
      </c>
      <c r="D82" s="5" t="s">
        <v>498</v>
      </c>
      <c r="I82" s="5" t="s">
        <v>245</v>
      </c>
    </row>
    <row r="83" spans="1:9">
      <c r="A83" s="5" t="s">
        <v>16</v>
      </c>
      <c r="B83" s="5">
        <v>76</v>
      </c>
      <c r="C83" s="5" t="s">
        <v>95</v>
      </c>
      <c r="D83" s="5" t="s">
        <v>499</v>
      </c>
      <c r="I83" s="5" t="s">
        <v>245</v>
      </c>
    </row>
    <row r="84" spans="1:9">
      <c r="A84" s="5" t="s">
        <v>16</v>
      </c>
      <c r="B84" s="5">
        <v>77</v>
      </c>
      <c r="C84" s="5" t="s">
        <v>96</v>
      </c>
      <c r="D84" s="5" t="s">
        <v>500</v>
      </c>
      <c r="I84" s="5" t="s">
        <v>245</v>
      </c>
    </row>
    <row r="85" spans="1:9">
      <c r="A85" s="5" t="s">
        <v>16</v>
      </c>
      <c r="B85" s="5">
        <v>78</v>
      </c>
      <c r="C85" s="5" t="s">
        <v>94</v>
      </c>
      <c r="D85" s="5" t="s">
        <v>501</v>
      </c>
      <c r="I85" s="5" t="s">
        <v>245</v>
      </c>
    </row>
    <row r="86" spans="1:9">
      <c r="A86" s="5" t="s">
        <v>16</v>
      </c>
      <c r="B86" s="5">
        <v>79</v>
      </c>
      <c r="C86" s="5" t="s">
        <v>246</v>
      </c>
      <c r="D86" s="5" t="s">
        <v>502</v>
      </c>
      <c r="I86" s="5" t="s">
        <v>245</v>
      </c>
    </row>
    <row r="87" spans="1:9">
      <c r="A87" s="5" t="s">
        <v>16</v>
      </c>
      <c r="B87" s="5">
        <v>80</v>
      </c>
      <c r="C87" s="5" t="s">
        <v>97</v>
      </c>
      <c r="D87" s="5" t="s">
        <v>503</v>
      </c>
      <c r="I87" s="5" t="s">
        <v>245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"/>
  <sheetViews>
    <sheetView workbookViewId="0">
      <selection activeCell="A10" sqref="A10"/>
    </sheetView>
  </sheetViews>
  <sheetFormatPr defaultRowHeight="12.75"/>
  <cols>
    <col min="1" max="9" width="9.140625" style="6"/>
    <col min="10" max="10" width="12.140625" style="6" customWidth="1"/>
    <col min="11" max="11" width="10.42578125" style="6" customWidth="1"/>
    <col min="12" max="12" width="14.42578125" style="6" customWidth="1"/>
    <col min="13" max="13" width="14.85546875" style="6" customWidth="1"/>
    <col min="14" max="14" width="14" style="6" bestFit="1" customWidth="1"/>
    <col min="15" max="18" width="9.140625" style="6"/>
    <col min="19" max="19" width="3.85546875" style="6" customWidth="1"/>
    <col min="20" max="20" width="20.85546875" style="6" customWidth="1"/>
    <col min="21" max="16384" width="9.140625" style="6"/>
  </cols>
  <sheetData>
    <row r="1" spans="1:22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</row>
    <row r="2" spans="1:22">
      <c r="A2" s="6" t="s">
        <v>1</v>
      </c>
      <c r="B2" s="6" t="s">
        <v>130</v>
      </c>
      <c r="C2" s="6" t="s">
        <v>131</v>
      </c>
      <c r="D2" s="6" t="s">
        <v>10</v>
      </c>
      <c r="E2" s="6" t="s">
        <v>113</v>
      </c>
      <c r="F2" s="6" t="s">
        <v>114</v>
      </c>
      <c r="G2" s="21" t="s">
        <v>529</v>
      </c>
      <c r="H2" s="6" t="s">
        <v>505</v>
      </c>
      <c r="I2" s="6" t="s">
        <v>115</v>
      </c>
      <c r="J2" s="6" t="s">
        <v>116</v>
      </c>
      <c r="K2" s="6" t="s">
        <v>117</v>
      </c>
      <c r="L2" s="6" t="s">
        <v>17</v>
      </c>
      <c r="M2" s="6" t="s">
        <v>119</v>
      </c>
      <c r="N2" s="6" t="s">
        <v>150</v>
      </c>
      <c r="O2" s="6" t="s">
        <v>156</v>
      </c>
      <c r="P2" s="6" t="s">
        <v>157</v>
      </c>
      <c r="Q2" s="6" t="s">
        <v>158</v>
      </c>
      <c r="R2" s="6" t="s">
        <v>159</v>
      </c>
    </row>
    <row r="3" spans="1:22">
      <c r="A3" s="6">
        <v>100</v>
      </c>
      <c r="B3" s="6">
        <v>0.09</v>
      </c>
      <c r="C3" s="6">
        <v>0.09</v>
      </c>
      <c r="D3" s="6">
        <v>0.95</v>
      </c>
      <c r="E3" s="6">
        <v>0.48</v>
      </c>
      <c r="F3" s="6">
        <v>0.48</v>
      </c>
      <c r="G3" s="6">
        <v>0.48</v>
      </c>
      <c r="H3" s="6">
        <v>0.48</v>
      </c>
      <c r="I3" s="6">
        <v>3</v>
      </c>
      <c r="J3" s="6">
        <v>10</v>
      </c>
      <c r="K3" s="6">
        <v>3</v>
      </c>
      <c r="L3" s="6">
        <v>50</v>
      </c>
      <c r="M3" s="6">
        <v>190</v>
      </c>
      <c r="N3" s="6">
        <v>40</v>
      </c>
      <c r="O3" s="6">
        <v>800</v>
      </c>
      <c r="P3" s="6">
        <v>800</v>
      </c>
      <c r="Q3" s="6">
        <v>800</v>
      </c>
      <c r="R3" s="6">
        <v>800</v>
      </c>
      <c r="S3" s="6" t="s">
        <v>16</v>
      </c>
      <c r="T3" s="6" t="s">
        <v>28</v>
      </c>
      <c r="U3" s="6" t="s">
        <v>25</v>
      </c>
    </row>
    <row r="4" spans="1:22">
      <c r="A4" s="6">
        <v>150</v>
      </c>
      <c r="B4" s="6">
        <v>0.15</v>
      </c>
      <c r="C4" s="6">
        <v>0.15</v>
      </c>
      <c r="D4" s="6">
        <v>0.91</v>
      </c>
      <c r="E4" s="6">
        <v>0.25</v>
      </c>
      <c r="F4" s="6">
        <v>0.25</v>
      </c>
      <c r="G4" s="6">
        <v>0.25</v>
      </c>
      <c r="H4" s="6">
        <v>0.25</v>
      </c>
      <c r="I4" s="6">
        <v>3</v>
      </c>
      <c r="J4" s="6">
        <v>10</v>
      </c>
      <c r="K4" s="6">
        <v>3</v>
      </c>
      <c r="L4" s="6">
        <v>60</v>
      </c>
      <c r="M4" s="6">
        <v>190</v>
      </c>
      <c r="N4" s="6">
        <v>100</v>
      </c>
      <c r="O4" s="6">
        <v>750</v>
      </c>
      <c r="P4" s="6">
        <v>750</v>
      </c>
      <c r="Q4" s="6">
        <v>750</v>
      </c>
      <c r="R4" s="6">
        <v>750</v>
      </c>
      <c r="S4" s="6" t="s">
        <v>16</v>
      </c>
      <c r="T4" s="6" t="s">
        <v>4</v>
      </c>
      <c r="U4" s="6" t="s">
        <v>25</v>
      </c>
    </row>
    <row r="5" spans="1:22" s="7" customFormat="1">
      <c r="A5" s="7">
        <v>551</v>
      </c>
      <c r="B5" s="7">
        <v>0.1</v>
      </c>
      <c r="C5" s="7">
        <v>0.1</v>
      </c>
      <c r="D5" s="7">
        <v>0.95</v>
      </c>
      <c r="E5" s="7">
        <v>0.48</v>
      </c>
      <c r="F5" s="7">
        <v>0.48</v>
      </c>
      <c r="G5" s="7">
        <v>0.6</v>
      </c>
      <c r="H5" s="7">
        <v>0.48</v>
      </c>
      <c r="I5" s="7">
        <v>3</v>
      </c>
      <c r="J5" s="7">
        <v>10</v>
      </c>
      <c r="K5" s="7">
        <v>3</v>
      </c>
      <c r="L5" s="7">
        <v>551</v>
      </c>
      <c r="M5" s="8">
        <v>-999</v>
      </c>
      <c r="N5" s="8">
        <v>-999</v>
      </c>
      <c r="O5" s="7">
        <v>800</v>
      </c>
      <c r="P5" s="7">
        <v>800</v>
      </c>
      <c r="Q5" s="7">
        <v>800</v>
      </c>
      <c r="R5" s="7">
        <v>800</v>
      </c>
      <c r="S5" s="7" t="s">
        <v>541</v>
      </c>
      <c r="T5" s="7" t="s">
        <v>88</v>
      </c>
      <c r="U5" s="7" t="s">
        <v>365</v>
      </c>
      <c r="V5" s="8" t="s">
        <v>366</v>
      </c>
    </row>
    <row r="6" spans="1:22" s="7" customFormat="1">
      <c r="A6" s="7">
        <v>552</v>
      </c>
      <c r="B6" s="7">
        <v>0.12</v>
      </c>
      <c r="C6" s="7">
        <v>0.12</v>
      </c>
      <c r="D6" s="7">
        <v>0.91</v>
      </c>
      <c r="E6" s="7">
        <v>0.25</v>
      </c>
      <c r="F6" s="7">
        <v>0.25</v>
      </c>
      <c r="G6" s="7">
        <v>0.6</v>
      </c>
      <c r="H6" s="7">
        <v>0.25</v>
      </c>
      <c r="I6" s="7">
        <v>3</v>
      </c>
      <c r="J6" s="7">
        <v>10</v>
      </c>
      <c r="K6" s="7">
        <v>3</v>
      </c>
      <c r="L6" s="7">
        <v>552</v>
      </c>
      <c r="M6" s="8">
        <v>-999</v>
      </c>
      <c r="N6" s="8">
        <v>-999</v>
      </c>
      <c r="O6" s="7">
        <v>799</v>
      </c>
      <c r="P6" s="7">
        <v>799</v>
      </c>
      <c r="Q6" s="7">
        <v>799</v>
      </c>
      <c r="R6" s="7">
        <v>799</v>
      </c>
      <c r="S6" s="7" t="s">
        <v>16</v>
      </c>
      <c r="T6" s="7" t="s">
        <v>516</v>
      </c>
      <c r="U6" s="7" t="s">
        <v>365</v>
      </c>
      <c r="V6" s="8" t="s">
        <v>366</v>
      </c>
    </row>
    <row r="7" spans="1:22" s="7" customFormat="1">
      <c r="A7" s="7">
        <v>553</v>
      </c>
      <c r="B7" s="7">
        <v>0.18</v>
      </c>
      <c r="C7" s="7">
        <v>0.18</v>
      </c>
      <c r="D7" s="7">
        <v>0.94</v>
      </c>
      <c r="E7" s="7">
        <v>0.8</v>
      </c>
      <c r="F7" s="7">
        <v>0.8</v>
      </c>
      <c r="G7" s="7">
        <v>1</v>
      </c>
      <c r="H7" s="7">
        <v>0.8</v>
      </c>
      <c r="I7" s="7">
        <v>3</v>
      </c>
      <c r="J7" s="7">
        <v>10</v>
      </c>
      <c r="K7" s="7">
        <v>3</v>
      </c>
      <c r="L7" s="7">
        <v>553</v>
      </c>
      <c r="M7" s="8">
        <v>-999</v>
      </c>
      <c r="N7" s="7">
        <v>-999</v>
      </c>
      <c r="O7" s="7">
        <v>55</v>
      </c>
      <c r="P7" s="7">
        <v>55</v>
      </c>
      <c r="Q7" s="7">
        <v>55</v>
      </c>
      <c r="R7" s="7">
        <v>55</v>
      </c>
      <c r="S7" s="7" t="s">
        <v>16</v>
      </c>
      <c r="T7" s="7" t="s">
        <v>542</v>
      </c>
      <c r="U7" s="7" t="s">
        <v>365</v>
      </c>
      <c r="V7" s="8" t="s">
        <v>366</v>
      </c>
    </row>
    <row r="8" spans="1:22" s="9" customFormat="1">
      <c r="A8" s="9">
        <v>661</v>
      </c>
      <c r="B8" s="9">
        <v>0.1</v>
      </c>
      <c r="C8" s="9">
        <v>0.1</v>
      </c>
      <c r="D8" s="9">
        <v>0.95</v>
      </c>
      <c r="E8" s="9">
        <v>0.48</v>
      </c>
      <c r="F8" s="9">
        <v>0.48</v>
      </c>
      <c r="G8" s="9">
        <v>0.6</v>
      </c>
      <c r="H8" s="9">
        <v>0.48</v>
      </c>
      <c r="I8" s="9">
        <v>3</v>
      </c>
      <c r="J8" s="9">
        <v>10</v>
      </c>
      <c r="K8" s="9">
        <v>3</v>
      </c>
      <c r="L8" s="9">
        <v>661</v>
      </c>
      <c r="M8" s="10">
        <v>-999</v>
      </c>
      <c r="N8" s="10">
        <v>-999</v>
      </c>
      <c r="O8" s="9">
        <v>800</v>
      </c>
      <c r="P8" s="9">
        <v>800</v>
      </c>
      <c r="Q8" s="9">
        <v>800</v>
      </c>
      <c r="R8" s="9">
        <v>800</v>
      </c>
      <c r="S8" s="9" t="s">
        <v>16</v>
      </c>
      <c r="T8" s="9" t="s">
        <v>88</v>
      </c>
      <c r="U8" s="9" t="s">
        <v>518</v>
      </c>
    </row>
    <row r="9" spans="1:22" s="9" customFormat="1">
      <c r="A9" s="9">
        <v>662</v>
      </c>
      <c r="B9" s="9">
        <v>0.12</v>
      </c>
      <c r="C9" s="9">
        <v>0.12</v>
      </c>
      <c r="D9" s="9">
        <v>0.91</v>
      </c>
      <c r="E9" s="9">
        <v>0.25</v>
      </c>
      <c r="F9" s="9">
        <v>0.25</v>
      </c>
      <c r="G9" s="9">
        <v>0.6</v>
      </c>
      <c r="H9" s="9">
        <v>0.25</v>
      </c>
      <c r="I9" s="9">
        <v>3</v>
      </c>
      <c r="J9" s="9">
        <v>10</v>
      </c>
      <c r="K9" s="9">
        <v>3</v>
      </c>
      <c r="L9" s="9">
        <v>661</v>
      </c>
      <c r="M9" s="10">
        <v>-999</v>
      </c>
      <c r="N9" s="10">
        <v>-999</v>
      </c>
      <c r="O9" s="9">
        <v>799</v>
      </c>
      <c r="P9" s="9">
        <v>799</v>
      </c>
      <c r="Q9" s="9">
        <v>799</v>
      </c>
      <c r="R9" s="9">
        <v>799</v>
      </c>
      <c r="S9" s="9" t="s">
        <v>16</v>
      </c>
      <c r="T9" s="9" t="s">
        <v>516</v>
      </c>
      <c r="U9" s="9" t="s">
        <v>518</v>
      </c>
    </row>
    <row r="10" spans="1:22" s="9" customFormat="1">
      <c r="A10" s="10">
        <v>663</v>
      </c>
      <c r="B10" s="10">
        <v>0.18</v>
      </c>
      <c r="C10" s="10">
        <v>0.18</v>
      </c>
      <c r="D10" s="10">
        <v>0.94</v>
      </c>
      <c r="E10" s="10">
        <v>0.8</v>
      </c>
      <c r="F10" s="10">
        <v>0.8</v>
      </c>
      <c r="G10" s="10">
        <v>1</v>
      </c>
      <c r="H10" s="10">
        <v>0.8</v>
      </c>
      <c r="I10" s="10">
        <v>3</v>
      </c>
      <c r="J10" s="10">
        <v>10</v>
      </c>
      <c r="K10" s="10">
        <v>3</v>
      </c>
      <c r="L10" s="10">
        <v>661</v>
      </c>
      <c r="M10" s="10">
        <v>-999</v>
      </c>
      <c r="N10" s="10">
        <v>-999</v>
      </c>
      <c r="O10" s="10">
        <v>55</v>
      </c>
      <c r="P10" s="10">
        <v>55</v>
      </c>
      <c r="Q10" s="10">
        <v>55</v>
      </c>
      <c r="R10" s="10">
        <v>55</v>
      </c>
      <c r="S10" s="10" t="s">
        <v>16</v>
      </c>
      <c r="T10" s="10" t="s">
        <v>519</v>
      </c>
      <c r="U10" s="9" t="s">
        <v>518</v>
      </c>
    </row>
    <row r="11" spans="1:22" s="68" customFormat="1">
      <c r="A11" s="68">
        <v>33661</v>
      </c>
      <c r="B11" s="68">
        <v>0.1</v>
      </c>
      <c r="C11" s="68">
        <v>0.1</v>
      </c>
      <c r="D11" s="68">
        <v>0.95</v>
      </c>
      <c r="E11" s="68">
        <v>0.48</v>
      </c>
      <c r="F11" s="68">
        <v>0.48</v>
      </c>
      <c r="G11" s="68">
        <v>0.6</v>
      </c>
      <c r="H11" s="68">
        <v>0.48</v>
      </c>
      <c r="I11" s="68">
        <v>3</v>
      </c>
      <c r="J11" s="68">
        <v>10</v>
      </c>
      <c r="K11" s="68">
        <v>3</v>
      </c>
      <c r="L11" s="68">
        <v>33661</v>
      </c>
      <c r="M11" s="68">
        <v>-999</v>
      </c>
      <c r="N11" s="69">
        <v>-999</v>
      </c>
      <c r="O11" s="68">
        <v>800</v>
      </c>
      <c r="P11" s="68">
        <v>800</v>
      </c>
      <c r="Q11" s="68">
        <v>800</v>
      </c>
      <c r="R11" s="68">
        <v>800</v>
      </c>
      <c r="S11" s="68" t="s">
        <v>16</v>
      </c>
      <c r="T11" s="68" t="s">
        <v>88</v>
      </c>
      <c r="U11" s="68" t="s">
        <v>537</v>
      </c>
    </row>
    <row r="12" spans="1:22" s="68" customFormat="1">
      <c r="A12" s="68">
        <v>33662</v>
      </c>
      <c r="B12" s="68">
        <v>0.12</v>
      </c>
      <c r="C12" s="68">
        <v>0.12</v>
      </c>
      <c r="D12" s="68">
        <v>0.91</v>
      </c>
      <c r="E12" s="68">
        <v>0.25</v>
      </c>
      <c r="F12" s="68">
        <v>0.25</v>
      </c>
      <c r="G12" s="68">
        <v>0.6</v>
      </c>
      <c r="H12" s="68">
        <v>0.25</v>
      </c>
      <c r="I12" s="68">
        <v>3</v>
      </c>
      <c r="J12" s="68">
        <v>10</v>
      </c>
      <c r="K12" s="68">
        <v>3</v>
      </c>
      <c r="L12" s="68">
        <v>33661</v>
      </c>
      <c r="M12" s="68">
        <v>-999</v>
      </c>
      <c r="N12" s="69">
        <v>-999</v>
      </c>
      <c r="O12" s="68">
        <v>799</v>
      </c>
      <c r="P12" s="68">
        <v>799</v>
      </c>
      <c r="Q12" s="68">
        <v>799</v>
      </c>
      <c r="R12" s="68">
        <v>799</v>
      </c>
      <c r="S12" s="68" t="s">
        <v>16</v>
      </c>
      <c r="T12" s="68" t="s">
        <v>516</v>
      </c>
      <c r="U12" s="68" t="s">
        <v>537</v>
      </c>
    </row>
    <row r="13" spans="1:22" s="68" customFormat="1">
      <c r="A13" s="69">
        <v>33663</v>
      </c>
      <c r="B13" s="69">
        <v>0.18</v>
      </c>
      <c r="C13" s="69">
        <v>0.18</v>
      </c>
      <c r="D13" s="69">
        <v>0.94</v>
      </c>
      <c r="E13" s="69">
        <v>0.8</v>
      </c>
      <c r="F13" s="69">
        <v>0.8</v>
      </c>
      <c r="G13" s="69">
        <v>1</v>
      </c>
      <c r="H13" s="69">
        <v>0.8</v>
      </c>
      <c r="I13" s="68">
        <v>3</v>
      </c>
      <c r="J13" s="68">
        <v>10</v>
      </c>
      <c r="K13" s="68">
        <v>3</v>
      </c>
      <c r="L13" s="69">
        <v>33661</v>
      </c>
      <c r="M13" s="69">
        <v>-999</v>
      </c>
      <c r="N13" s="69">
        <v>-999</v>
      </c>
      <c r="O13" s="69">
        <v>55</v>
      </c>
      <c r="P13" s="69">
        <v>55</v>
      </c>
      <c r="Q13" s="69">
        <v>55</v>
      </c>
      <c r="R13" s="69">
        <v>55</v>
      </c>
      <c r="S13" s="69" t="s">
        <v>16</v>
      </c>
      <c r="T13" s="69" t="s">
        <v>103</v>
      </c>
      <c r="U13" s="68" t="s">
        <v>537</v>
      </c>
    </row>
    <row r="14" spans="1:22">
      <c r="A14" s="6">
        <v>-9</v>
      </c>
      <c r="O14" s="11"/>
      <c r="P14" s="11"/>
      <c r="Q14" s="11"/>
      <c r="R14" s="11"/>
      <c r="S14" s="11"/>
      <c r="T14" s="11"/>
    </row>
    <row r="15" spans="1:22">
      <c r="A15" s="6">
        <v>-9</v>
      </c>
      <c r="O15" s="11"/>
      <c r="P15" s="11"/>
      <c r="Q15" s="11"/>
      <c r="R15" s="11"/>
      <c r="S15" s="11"/>
      <c r="T15" s="11"/>
    </row>
    <row r="16" spans="1:22">
      <c r="O16" s="11"/>
      <c r="P16" s="11"/>
      <c r="Q16" s="11"/>
      <c r="R16" s="11"/>
      <c r="S16" s="11"/>
      <c r="T16" s="11"/>
    </row>
    <row r="17" spans="1:20">
      <c r="A17" s="6" t="s">
        <v>16</v>
      </c>
      <c r="E17" s="18" t="s">
        <v>483</v>
      </c>
      <c r="O17" s="11"/>
      <c r="P17" s="11"/>
      <c r="Q17" s="11"/>
      <c r="R17" s="11"/>
      <c r="S17" s="11"/>
      <c r="T17" s="11"/>
    </row>
    <row r="18" spans="1:20">
      <c r="A18" s="5" t="s">
        <v>16</v>
      </c>
      <c r="B18" s="5"/>
      <c r="C18" s="5">
        <v>1</v>
      </c>
      <c r="D18" s="5" t="s">
        <v>1</v>
      </c>
      <c r="E18" s="5" t="s">
        <v>504</v>
      </c>
      <c r="F18" s="5"/>
      <c r="G18" s="5"/>
      <c r="H18" s="5"/>
      <c r="I18" s="5"/>
      <c r="J18" s="5"/>
    </row>
    <row r="19" spans="1:20">
      <c r="A19" s="6" t="s">
        <v>16</v>
      </c>
      <c r="C19" s="6">
        <v>2</v>
      </c>
      <c r="D19" s="6" t="s">
        <v>130</v>
      </c>
      <c r="E19" s="6" t="s">
        <v>534</v>
      </c>
    </row>
    <row r="20" spans="1:20">
      <c r="A20" s="6" t="s">
        <v>16</v>
      </c>
      <c r="C20" s="6">
        <v>3</v>
      </c>
      <c r="D20" s="6" t="s">
        <v>131</v>
      </c>
      <c r="E20" s="6" t="s">
        <v>533</v>
      </c>
    </row>
    <row r="21" spans="1:20">
      <c r="A21" s="6" t="s">
        <v>16</v>
      </c>
      <c r="C21" s="6">
        <v>4</v>
      </c>
      <c r="D21" s="6" t="s">
        <v>10</v>
      </c>
      <c r="E21" s="6" t="s">
        <v>248</v>
      </c>
    </row>
    <row r="22" spans="1:20">
      <c r="A22" s="6" t="s">
        <v>16</v>
      </c>
      <c r="C22" s="6">
        <v>5</v>
      </c>
      <c r="D22" s="6" t="s">
        <v>113</v>
      </c>
      <c r="E22" s="6" t="s">
        <v>249</v>
      </c>
      <c r="F22" s="11"/>
      <c r="G22" s="11"/>
      <c r="H22" s="11"/>
      <c r="J22" s="6" t="s">
        <v>213</v>
      </c>
    </row>
    <row r="23" spans="1:20">
      <c r="A23" s="6" t="s">
        <v>16</v>
      </c>
      <c r="C23" s="6">
        <v>6</v>
      </c>
      <c r="D23" s="6" t="s">
        <v>114</v>
      </c>
      <c r="E23" s="6" t="s">
        <v>250</v>
      </c>
      <c r="J23" s="6" t="s">
        <v>213</v>
      </c>
    </row>
    <row r="24" spans="1:20">
      <c r="A24" s="6" t="s">
        <v>16</v>
      </c>
      <c r="C24" s="6">
        <v>7</v>
      </c>
      <c r="D24" s="6" t="s">
        <v>529</v>
      </c>
      <c r="E24" s="6" t="s">
        <v>528</v>
      </c>
      <c r="J24" s="6" t="s">
        <v>213</v>
      </c>
    </row>
    <row r="25" spans="1:20">
      <c r="A25" s="6" t="s">
        <v>16</v>
      </c>
      <c r="C25" s="5">
        <v>8</v>
      </c>
      <c r="D25" s="6" t="s">
        <v>505</v>
      </c>
      <c r="E25" s="6" t="s">
        <v>506</v>
      </c>
      <c r="J25" s="6" t="s">
        <v>213</v>
      </c>
    </row>
    <row r="26" spans="1:20">
      <c r="A26" s="6" t="s">
        <v>16</v>
      </c>
      <c r="C26" s="6">
        <v>9</v>
      </c>
      <c r="D26" s="6" t="s">
        <v>115</v>
      </c>
      <c r="E26" s="6" t="s">
        <v>251</v>
      </c>
    </row>
    <row r="27" spans="1:20">
      <c r="A27" s="6" t="s">
        <v>16</v>
      </c>
      <c r="C27" s="6">
        <v>10</v>
      </c>
      <c r="D27" s="6" t="s">
        <v>116</v>
      </c>
      <c r="E27" s="6" t="s">
        <v>252</v>
      </c>
    </row>
    <row r="28" spans="1:20">
      <c r="A28" s="6" t="s">
        <v>16</v>
      </c>
      <c r="C28" s="6">
        <v>11</v>
      </c>
      <c r="D28" s="6" t="s">
        <v>117</v>
      </c>
      <c r="E28" s="6" t="s">
        <v>252</v>
      </c>
    </row>
    <row r="29" spans="1:20">
      <c r="A29" s="6" t="s">
        <v>16</v>
      </c>
      <c r="C29" s="6">
        <v>12</v>
      </c>
      <c r="D29" s="6" t="s">
        <v>17</v>
      </c>
      <c r="E29" s="5" t="s">
        <v>253</v>
      </c>
    </row>
    <row r="30" spans="1:20">
      <c r="A30" s="6" t="s">
        <v>16</v>
      </c>
      <c r="C30" s="6">
        <v>13</v>
      </c>
      <c r="D30" s="6" t="s">
        <v>119</v>
      </c>
      <c r="E30" s="6" t="s">
        <v>254</v>
      </c>
      <c r="J30" s="6" t="s">
        <v>213</v>
      </c>
    </row>
    <row r="31" spans="1:20">
      <c r="A31" s="6" t="s">
        <v>16</v>
      </c>
      <c r="C31" s="5">
        <v>14</v>
      </c>
      <c r="D31" s="6" t="s">
        <v>150</v>
      </c>
      <c r="E31" s="6" t="s">
        <v>255</v>
      </c>
      <c r="J31" s="6" t="s">
        <v>213</v>
      </c>
    </row>
    <row r="32" spans="1:20">
      <c r="A32" s="6" t="s">
        <v>16</v>
      </c>
      <c r="C32" s="6">
        <v>15</v>
      </c>
      <c r="D32" s="6" t="s">
        <v>156</v>
      </c>
    </row>
    <row r="33" spans="1:14">
      <c r="A33" s="6" t="s">
        <v>16</v>
      </c>
      <c r="C33" s="6">
        <v>16</v>
      </c>
      <c r="D33" s="6" t="s">
        <v>157</v>
      </c>
    </row>
    <row r="34" spans="1:14">
      <c r="A34" s="6" t="s">
        <v>16</v>
      </c>
      <c r="C34" s="6">
        <v>17</v>
      </c>
      <c r="D34" s="6" t="s">
        <v>158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>
      <c r="A35" s="6" t="s">
        <v>16</v>
      </c>
      <c r="C35" s="6">
        <v>18</v>
      </c>
      <c r="D35" s="6" t="s">
        <v>159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>
      <c r="D38" s="12"/>
      <c r="E38" s="1"/>
      <c r="F38" s="2"/>
      <c r="G38" s="2"/>
      <c r="H38" s="2"/>
      <c r="I38" s="12"/>
      <c r="J38" s="12"/>
      <c r="K38" s="3"/>
      <c r="L38" s="4"/>
      <c r="M38" s="4"/>
      <c r="N38" s="12"/>
    </row>
    <row r="39" spans="1:14"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3"/>
  <sheetViews>
    <sheetView workbookViewId="0">
      <selection activeCell="A20" sqref="A20"/>
    </sheetView>
  </sheetViews>
  <sheetFormatPr defaultRowHeight="12.75"/>
  <cols>
    <col min="1" max="11" width="9.140625" style="13"/>
    <col min="12" max="12" width="16.28515625" style="13" customWidth="1"/>
    <col min="13" max="13" width="14.42578125" style="13" customWidth="1"/>
    <col min="14" max="29" width="9.140625" style="13"/>
    <col min="30" max="30" width="4.28515625" style="13" customWidth="1"/>
    <col min="31" max="31" width="17.85546875" style="13" customWidth="1"/>
    <col min="32" max="16384" width="9.140625" style="13"/>
  </cols>
  <sheetData>
    <row r="1" spans="1:33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</row>
    <row r="2" spans="1:33">
      <c r="A2" s="13" t="s">
        <v>1</v>
      </c>
      <c r="B2" s="13" t="s">
        <v>130</v>
      </c>
      <c r="C2" s="13" t="s">
        <v>131</v>
      </c>
      <c r="D2" s="13" t="s">
        <v>10</v>
      </c>
      <c r="E2" s="13" t="s">
        <v>113</v>
      </c>
      <c r="F2" s="13" t="s">
        <v>114</v>
      </c>
      <c r="G2" s="21" t="s">
        <v>529</v>
      </c>
      <c r="H2" s="13" t="s">
        <v>505</v>
      </c>
      <c r="I2" s="13" t="s">
        <v>115</v>
      </c>
      <c r="J2" s="13" t="s">
        <v>116</v>
      </c>
      <c r="K2" s="13" t="s">
        <v>117</v>
      </c>
      <c r="L2" s="13" t="s">
        <v>17</v>
      </c>
      <c r="M2" s="13" t="s">
        <v>119</v>
      </c>
      <c r="N2" s="13" t="s">
        <v>11</v>
      </c>
      <c r="O2" s="13" t="s">
        <v>3</v>
      </c>
      <c r="P2" s="13" t="s">
        <v>12</v>
      </c>
      <c r="Q2" s="13" t="s">
        <v>13</v>
      </c>
      <c r="R2" s="13" t="s">
        <v>120</v>
      </c>
      <c r="S2" s="13" t="s">
        <v>121</v>
      </c>
      <c r="T2" s="13" t="s">
        <v>127</v>
      </c>
      <c r="U2" s="13" t="s">
        <v>122</v>
      </c>
      <c r="V2" s="13" t="s">
        <v>123</v>
      </c>
      <c r="W2" s="13" t="s">
        <v>124</v>
      </c>
      <c r="X2" s="13" t="s">
        <v>125</v>
      </c>
      <c r="Y2" s="13" t="s">
        <v>126</v>
      </c>
      <c r="Z2" s="13" t="s">
        <v>156</v>
      </c>
      <c r="AA2" s="13" t="s">
        <v>157</v>
      </c>
      <c r="AB2" s="13" t="s">
        <v>158</v>
      </c>
      <c r="AC2" s="13" t="s">
        <v>159</v>
      </c>
    </row>
    <row r="3" spans="1:33">
      <c r="A3" s="13">
        <v>300</v>
      </c>
      <c r="B3" s="13">
        <v>0.1</v>
      </c>
      <c r="C3" s="13">
        <v>0.1</v>
      </c>
      <c r="D3" s="13">
        <v>0.98</v>
      </c>
      <c r="E3" s="13">
        <v>1.3</v>
      </c>
      <c r="F3" s="13">
        <v>1.3</v>
      </c>
      <c r="G3" s="13">
        <v>1.3</v>
      </c>
      <c r="H3" s="13">
        <v>1.3</v>
      </c>
      <c r="I3" s="13">
        <v>2</v>
      </c>
      <c r="J3" s="13">
        <v>1.2999999999999999E-2</v>
      </c>
      <c r="K3" s="13">
        <v>1.71</v>
      </c>
      <c r="L3" s="13">
        <v>70</v>
      </c>
      <c r="M3" s="13">
        <v>190</v>
      </c>
      <c r="N3" s="13">
        <v>5</v>
      </c>
      <c r="O3" s="13">
        <v>10</v>
      </c>
      <c r="P3" s="13">
        <v>300</v>
      </c>
      <c r="Q3" s="13">
        <v>-450</v>
      </c>
      <c r="R3" s="13">
        <v>4</v>
      </c>
      <c r="S3" s="13">
        <v>5.0999999999999996</v>
      </c>
      <c r="T3" s="13">
        <v>7.4</v>
      </c>
      <c r="U3" s="13">
        <v>1</v>
      </c>
      <c r="V3" s="13">
        <v>0.04</v>
      </c>
      <c r="W3" s="13">
        <v>1E-3</v>
      </c>
      <c r="X3" s="13">
        <v>-1.5</v>
      </c>
      <c r="Y3" s="13">
        <v>1.5E-3</v>
      </c>
      <c r="Z3" s="13">
        <v>200</v>
      </c>
      <c r="AA3" s="13">
        <v>200</v>
      </c>
      <c r="AB3" s="13">
        <v>200</v>
      </c>
      <c r="AC3" s="13">
        <v>200</v>
      </c>
      <c r="AD3" s="13" t="s">
        <v>16</v>
      </c>
      <c r="AE3" s="13" t="s">
        <v>5</v>
      </c>
      <c r="AF3" s="13" t="s">
        <v>25</v>
      </c>
      <c r="AG3" s="13" t="s">
        <v>36</v>
      </c>
    </row>
    <row r="4" spans="1:33">
      <c r="A4" s="13">
        <v>330</v>
      </c>
      <c r="B4" s="13">
        <v>0.16</v>
      </c>
      <c r="C4" s="13">
        <v>0.16</v>
      </c>
      <c r="D4" s="13">
        <v>0.98</v>
      </c>
      <c r="E4" s="13">
        <v>0.3</v>
      </c>
      <c r="F4" s="13">
        <v>0.8</v>
      </c>
      <c r="G4" s="13">
        <v>0.8</v>
      </c>
      <c r="H4" s="13">
        <v>0.8</v>
      </c>
      <c r="I4" s="13">
        <v>2</v>
      </c>
      <c r="J4" s="13">
        <v>1.2999999999999999E-2</v>
      </c>
      <c r="K4" s="13">
        <v>1.71</v>
      </c>
      <c r="L4" s="13">
        <v>70</v>
      </c>
      <c r="M4" s="13">
        <v>190</v>
      </c>
      <c r="N4" s="13">
        <v>5</v>
      </c>
      <c r="O4" s="13">
        <v>10</v>
      </c>
      <c r="P4" s="13">
        <v>300</v>
      </c>
      <c r="Q4" s="13">
        <v>-450</v>
      </c>
      <c r="R4" s="13">
        <v>1</v>
      </c>
      <c r="S4" s="13">
        <v>5.5</v>
      </c>
      <c r="T4" s="13">
        <v>11.7</v>
      </c>
      <c r="U4" s="13">
        <v>1</v>
      </c>
      <c r="V4" s="13">
        <v>0.04</v>
      </c>
      <c r="W4" s="13">
        <v>1E-3</v>
      </c>
      <c r="X4" s="13">
        <v>-1.5</v>
      </c>
      <c r="Y4" s="13">
        <v>1.5E-3</v>
      </c>
      <c r="Z4" s="13">
        <v>200</v>
      </c>
      <c r="AA4" s="13">
        <v>200</v>
      </c>
      <c r="AB4" s="13">
        <v>200</v>
      </c>
      <c r="AC4" s="13">
        <v>200</v>
      </c>
      <c r="AD4" s="13" t="s">
        <v>16</v>
      </c>
      <c r="AE4" s="13" t="s">
        <v>6</v>
      </c>
      <c r="AF4" s="13" t="s">
        <v>25</v>
      </c>
      <c r="AG4" s="13" t="s">
        <v>36</v>
      </c>
    </row>
    <row r="5" spans="1:33">
      <c r="A5" s="13">
        <v>360</v>
      </c>
      <c r="B5" s="13">
        <v>0.19</v>
      </c>
      <c r="C5" s="13">
        <v>0.19</v>
      </c>
      <c r="D5" s="13">
        <v>0.93</v>
      </c>
      <c r="E5" s="13">
        <v>1.9</v>
      </c>
      <c r="F5" s="13">
        <v>1.9</v>
      </c>
      <c r="G5" s="13">
        <v>1.9</v>
      </c>
      <c r="H5" s="13">
        <v>1.9</v>
      </c>
      <c r="I5" s="13">
        <v>3</v>
      </c>
      <c r="J5" s="13">
        <v>10</v>
      </c>
      <c r="K5" s="13">
        <v>3</v>
      </c>
      <c r="L5" s="13">
        <v>70</v>
      </c>
      <c r="M5" s="13">
        <v>190</v>
      </c>
      <c r="N5" s="13">
        <v>5</v>
      </c>
      <c r="O5" s="13">
        <v>10</v>
      </c>
      <c r="P5" s="13">
        <v>300</v>
      </c>
      <c r="Q5" s="13">
        <v>-450</v>
      </c>
      <c r="R5" s="13">
        <v>1.6</v>
      </c>
      <c r="S5" s="13">
        <v>5.9</v>
      </c>
      <c r="T5" s="13">
        <v>40</v>
      </c>
      <c r="U5" s="13">
        <v>1</v>
      </c>
      <c r="V5" s="13">
        <v>0.04</v>
      </c>
      <c r="W5" s="13">
        <v>1E-3</v>
      </c>
      <c r="X5" s="13">
        <v>-1.5</v>
      </c>
      <c r="Y5" s="13">
        <v>1.5E-3</v>
      </c>
      <c r="Z5" s="13">
        <v>200</v>
      </c>
      <c r="AA5" s="13">
        <v>200</v>
      </c>
      <c r="AB5" s="13">
        <v>200</v>
      </c>
      <c r="AC5" s="13">
        <v>200</v>
      </c>
      <c r="AD5" s="13" t="s">
        <v>16</v>
      </c>
      <c r="AE5" s="13" t="s">
        <v>7</v>
      </c>
      <c r="AF5" s="13" t="s">
        <v>25</v>
      </c>
      <c r="AG5" s="13" t="s">
        <v>36</v>
      </c>
    </row>
    <row r="6" spans="1:33">
      <c r="A6" s="13">
        <v>361</v>
      </c>
      <c r="B6" s="13">
        <v>0.19</v>
      </c>
      <c r="C6" s="13">
        <v>0.19</v>
      </c>
      <c r="D6" s="13">
        <v>0.93</v>
      </c>
      <c r="E6" s="13">
        <v>1.9</v>
      </c>
      <c r="F6" s="13">
        <v>1.9</v>
      </c>
      <c r="G6" s="13">
        <v>1.9</v>
      </c>
      <c r="H6" s="13">
        <v>1.9</v>
      </c>
      <c r="I6" s="13">
        <v>2</v>
      </c>
      <c r="J6" s="13">
        <v>0.13</v>
      </c>
      <c r="K6" s="13">
        <v>1.71</v>
      </c>
      <c r="L6" s="13">
        <v>70</v>
      </c>
      <c r="M6" s="13">
        <v>190</v>
      </c>
      <c r="N6" s="13">
        <v>5</v>
      </c>
      <c r="O6" s="13">
        <v>10</v>
      </c>
      <c r="P6" s="13">
        <v>300</v>
      </c>
      <c r="Q6" s="13">
        <v>-450</v>
      </c>
      <c r="R6" s="13">
        <v>1.6</v>
      </c>
      <c r="S6" s="13">
        <v>5.9</v>
      </c>
      <c r="T6" s="13">
        <v>33.1</v>
      </c>
      <c r="U6" s="13">
        <v>1</v>
      </c>
      <c r="V6" s="13">
        <v>0.04</v>
      </c>
      <c r="W6" s="13">
        <v>1E-3</v>
      </c>
      <c r="X6" s="13">
        <v>-1.5</v>
      </c>
      <c r="Y6" s="13">
        <v>1.5E-3</v>
      </c>
      <c r="Z6" s="13">
        <v>200</v>
      </c>
      <c r="AA6" s="13">
        <v>200</v>
      </c>
      <c r="AB6" s="13">
        <v>200</v>
      </c>
      <c r="AC6" s="13">
        <v>200</v>
      </c>
      <c r="AD6" s="13" t="s">
        <v>16</v>
      </c>
      <c r="AE6" s="13" t="s">
        <v>8</v>
      </c>
      <c r="AF6" s="13" t="s">
        <v>25</v>
      </c>
      <c r="AG6" s="13" t="s">
        <v>36</v>
      </c>
    </row>
    <row r="7" spans="1:33" s="75" customFormat="1">
      <c r="A7" s="75">
        <v>551</v>
      </c>
      <c r="B7" s="75">
        <v>0.1</v>
      </c>
      <c r="C7" s="75">
        <v>0.1</v>
      </c>
      <c r="D7" s="75">
        <v>0.98</v>
      </c>
      <c r="E7" s="75">
        <v>1.3</v>
      </c>
      <c r="F7" s="75">
        <v>1.3</v>
      </c>
      <c r="G7" s="75">
        <v>1.8</v>
      </c>
      <c r="H7" s="75">
        <v>1.3</v>
      </c>
      <c r="I7" s="75">
        <v>2</v>
      </c>
      <c r="J7" s="75">
        <v>1.2999999999999999E-2</v>
      </c>
      <c r="K7" s="75">
        <v>1.71</v>
      </c>
      <c r="L7" s="75">
        <v>553</v>
      </c>
      <c r="M7" s="75">
        <v>-999</v>
      </c>
      <c r="N7" s="75">
        <v>6</v>
      </c>
      <c r="O7" s="75">
        <v>11</v>
      </c>
      <c r="P7" s="75">
        <v>300</v>
      </c>
      <c r="Q7" s="75">
        <v>-450</v>
      </c>
      <c r="R7" s="75">
        <v>4</v>
      </c>
      <c r="S7" s="75">
        <v>5.0999999999999996</v>
      </c>
      <c r="T7" s="75">
        <v>7.4</v>
      </c>
      <c r="U7" s="75">
        <v>1</v>
      </c>
      <c r="V7" s="75">
        <v>0.04</v>
      </c>
      <c r="W7" s="75">
        <v>1E-3</v>
      </c>
      <c r="X7" s="75">
        <v>-1.5</v>
      </c>
      <c r="Y7" s="75">
        <v>1.5E-3</v>
      </c>
      <c r="Z7" s="75">
        <v>200</v>
      </c>
      <c r="AA7" s="75">
        <v>200</v>
      </c>
      <c r="AB7" s="75">
        <v>200</v>
      </c>
      <c r="AC7" s="75">
        <v>200</v>
      </c>
      <c r="AD7" s="75" t="s">
        <v>16</v>
      </c>
      <c r="AE7" s="75" t="s">
        <v>91</v>
      </c>
      <c r="AF7" s="75" t="s">
        <v>365</v>
      </c>
      <c r="AG7" s="75" t="s">
        <v>366</v>
      </c>
    </row>
    <row r="8" spans="1:33" s="75" customFormat="1">
      <c r="A8" s="75">
        <v>552</v>
      </c>
      <c r="B8" s="75">
        <v>0.12</v>
      </c>
      <c r="C8" s="75">
        <v>0.18</v>
      </c>
      <c r="D8" s="75">
        <v>0.98</v>
      </c>
      <c r="E8" s="75">
        <v>0.3</v>
      </c>
      <c r="F8" s="75">
        <v>0.8</v>
      </c>
      <c r="G8" s="75">
        <v>1</v>
      </c>
      <c r="H8" s="75">
        <v>0.8</v>
      </c>
      <c r="I8" s="75">
        <v>2</v>
      </c>
      <c r="J8" s="75">
        <v>1.2999999999999999E-2</v>
      </c>
      <c r="K8" s="75">
        <v>1.71</v>
      </c>
      <c r="L8" s="75">
        <v>553</v>
      </c>
      <c r="M8" s="75">
        <v>-999</v>
      </c>
      <c r="N8" s="75">
        <v>6</v>
      </c>
      <c r="O8" s="75">
        <v>11</v>
      </c>
      <c r="P8" s="75">
        <v>300</v>
      </c>
      <c r="Q8" s="75">
        <v>-450</v>
      </c>
      <c r="R8" s="75">
        <v>1</v>
      </c>
      <c r="S8" s="75">
        <v>5.5</v>
      </c>
      <c r="T8" s="76">
        <v>11.7</v>
      </c>
      <c r="U8" s="75">
        <v>1</v>
      </c>
      <c r="V8" s="75">
        <v>0.04</v>
      </c>
      <c r="W8" s="75">
        <v>1E-3</v>
      </c>
      <c r="X8" s="75">
        <v>-1.5</v>
      </c>
      <c r="Y8" s="75">
        <v>1.5E-3</v>
      </c>
      <c r="Z8" s="75">
        <v>200</v>
      </c>
      <c r="AA8" s="75">
        <v>200</v>
      </c>
      <c r="AB8" s="75">
        <v>200</v>
      </c>
      <c r="AC8" s="75">
        <v>200</v>
      </c>
      <c r="AD8" s="75" t="s">
        <v>16</v>
      </c>
      <c r="AE8" s="75" t="s">
        <v>92</v>
      </c>
      <c r="AF8" s="75" t="s">
        <v>365</v>
      </c>
      <c r="AG8" s="75" t="s">
        <v>366</v>
      </c>
    </row>
    <row r="9" spans="1:33" s="75" customFormat="1">
      <c r="A9" s="75">
        <v>553</v>
      </c>
      <c r="B9" s="75">
        <v>0.18</v>
      </c>
      <c r="C9" s="75">
        <v>0.21</v>
      </c>
      <c r="D9" s="75">
        <v>0.93</v>
      </c>
      <c r="E9" s="75">
        <v>1.9</v>
      </c>
      <c r="F9" s="75">
        <v>1.9</v>
      </c>
      <c r="G9" s="75">
        <v>2</v>
      </c>
      <c r="H9" s="75">
        <v>1.9</v>
      </c>
      <c r="I9" s="75">
        <v>2</v>
      </c>
      <c r="J9" s="75">
        <v>1.2999999999999999E-2</v>
      </c>
      <c r="K9" s="75">
        <v>1.71</v>
      </c>
      <c r="L9" s="75">
        <v>553</v>
      </c>
      <c r="M9" s="75">
        <v>-999</v>
      </c>
      <c r="N9" s="75">
        <v>6</v>
      </c>
      <c r="O9" s="75">
        <v>11</v>
      </c>
      <c r="P9" s="75">
        <v>300</v>
      </c>
      <c r="Q9" s="75">
        <v>-450</v>
      </c>
      <c r="R9" s="75">
        <v>1.6</v>
      </c>
      <c r="S9" s="75">
        <v>5.9</v>
      </c>
      <c r="T9" s="75">
        <v>33.1</v>
      </c>
      <c r="U9" s="75">
        <v>1</v>
      </c>
      <c r="V9" s="75">
        <v>0.04</v>
      </c>
      <c r="W9" s="75">
        <v>1E-3</v>
      </c>
      <c r="X9" s="75">
        <v>-1.5</v>
      </c>
      <c r="Y9" s="75">
        <v>1.5E-3</v>
      </c>
      <c r="Z9" s="75">
        <v>200</v>
      </c>
      <c r="AA9" s="75">
        <v>200</v>
      </c>
      <c r="AB9" s="75">
        <v>200</v>
      </c>
      <c r="AC9" s="75">
        <v>200</v>
      </c>
      <c r="AD9" s="75" t="s">
        <v>16</v>
      </c>
      <c r="AE9" s="75" t="s">
        <v>80</v>
      </c>
      <c r="AF9" s="75" t="s">
        <v>365</v>
      </c>
      <c r="AG9" s="75" t="s">
        <v>366</v>
      </c>
    </row>
    <row r="10" spans="1:33" s="10" customFormat="1">
      <c r="A10" s="10">
        <v>661</v>
      </c>
      <c r="B10" s="10">
        <v>0.1</v>
      </c>
      <c r="C10" s="10">
        <v>0.1</v>
      </c>
      <c r="D10" s="10">
        <v>0.98</v>
      </c>
      <c r="E10" s="10">
        <v>1.3</v>
      </c>
      <c r="F10" s="10">
        <v>1.3</v>
      </c>
      <c r="G10" s="10">
        <v>1.8</v>
      </c>
      <c r="H10" s="10">
        <v>1.3</v>
      </c>
      <c r="I10" s="10">
        <v>2</v>
      </c>
      <c r="J10" s="10">
        <v>1.2999999999999999E-2</v>
      </c>
      <c r="K10" s="10">
        <v>1.71</v>
      </c>
      <c r="L10" s="10">
        <v>661</v>
      </c>
      <c r="M10" s="10">
        <v>-999</v>
      </c>
      <c r="N10" s="10">
        <v>6</v>
      </c>
      <c r="O10" s="10">
        <v>11</v>
      </c>
      <c r="P10" s="10">
        <v>300</v>
      </c>
      <c r="Q10" s="10">
        <v>-450</v>
      </c>
      <c r="R10" s="10">
        <v>4</v>
      </c>
      <c r="S10" s="10">
        <v>5.0999999999999996</v>
      </c>
      <c r="T10" s="10">
        <v>7.4</v>
      </c>
      <c r="U10" s="10">
        <v>1</v>
      </c>
      <c r="V10" s="10">
        <v>0.04</v>
      </c>
      <c r="W10" s="10">
        <v>1E-3</v>
      </c>
      <c r="X10" s="10">
        <v>-1.5</v>
      </c>
      <c r="Y10" s="10">
        <v>1.5E-3</v>
      </c>
      <c r="Z10" s="10">
        <v>200</v>
      </c>
      <c r="AA10" s="10">
        <v>200</v>
      </c>
      <c r="AB10" s="10">
        <v>200</v>
      </c>
      <c r="AC10" s="10">
        <v>200</v>
      </c>
      <c r="AD10" s="10" t="s">
        <v>16</v>
      </c>
      <c r="AE10" s="10" t="s">
        <v>91</v>
      </c>
      <c r="AF10" s="10" t="s">
        <v>518</v>
      </c>
    </row>
    <row r="11" spans="1:33" s="10" customFormat="1">
      <c r="A11" s="10">
        <v>662</v>
      </c>
      <c r="B11" s="10">
        <v>0.12</v>
      </c>
      <c r="C11" s="10">
        <v>0.18</v>
      </c>
      <c r="D11" s="10">
        <v>0.98</v>
      </c>
      <c r="E11" s="10">
        <v>0.3</v>
      </c>
      <c r="F11" s="10">
        <v>0.8</v>
      </c>
      <c r="G11" s="10">
        <v>1</v>
      </c>
      <c r="H11" s="10">
        <v>0.8</v>
      </c>
      <c r="I11" s="10">
        <v>2</v>
      </c>
      <c r="J11" s="10">
        <v>1.2999999999999999E-2</v>
      </c>
      <c r="K11" s="10">
        <v>1.71</v>
      </c>
      <c r="L11" s="10">
        <v>661</v>
      </c>
      <c r="M11" s="10">
        <v>-999</v>
      </c>
      <c r="N11" s="10">
        <v>6</v>
      </c>
      <c r="O11" s="10">
        <v>11</v>
      </c>
      <c r="P11" s="10">
        <v>300</v>
      </c>
      <c r="Q11" s="10">
        <v>-450</v>
      </c>
      <c r="R11" s="10">
        <v>1</v>
      </c>
      <c r="S11" s="10">
        <v>5.5</v>
      </c>
      <c r="T11" s="14">
        <v>11.7</v>
      </c>
      <c r="U11" s="10">
        <v>1</v>
      </c>
      <c r="V11" s="10">
        <v>0.04</v>
      </c>
      <c r="W11" s="10">
        <v>1E-3</v>
      </c>
      <c r="X11" s="10">
        <v>-1.5</v>
      </c>
      <c r="Y11" s="10">
        <v>1.5E-3</v>
      </c>
      <c r="Z11" s="10">
        <v>200</v>
      </c>
      <c r="AA11" s="10">
        <v>200</v>
      </c>
      <c r="AB11" s="10">
        <v>200</v>
      </c>
      <c r="AC11" s="10">
        <v>200</v>
      </c>
      <c r="AD11" s="10" t="s">
        <v>16</v>
      </c>
      <c r="AE11" s="10" t="s">
        <v>92</v>
      </c>
      <c r="AF11" s="10" t="s">
        <v>518</v>
      </c>
    </row>
    <row r="12" spans="1:33" s="10" customFormat="1">
      <c r="A12" s="10">
        <v>663</v>
      </c>
      <c r="B12" s="10">
        <v>0.18</v>
      </c>
      <c r="C12" s="10">
        <v>0.21</v>
      </c>
      <c r="D12" s="10">
        <v>0.93</v>
      </c>
      <c r="E12" s="10">
        <v>1.9</v>
      </c>
      <c r="F12" s="10">
        <v>1.9</v>
      </c>
      <c r="G12" s="10">
        <v>2</v>
      </c>
      <c r="H12" s="10">
        <v>1.9</v>
      </c>
      <c r="I12" s="10">
        <v>2</v>
      </c>
      <c r="J12" s="10">
        <v>1.2999999999999999E-2</v>
      </c>
      <c r="K12" s="10">
        <v>1.71</v>
      </c>
      <c r="L12" s="10">
        <v>661</v>
      </c>
      <c r="M12" s="10">
        <v>-999</v>
      </c>
      <c r="N12" s="10">
        <v>6</v>
      </c>
      <c r="O12" s="10">
        <v>11</v>
      </c>
      <c r="P12" s="10">
        <v>300</v>
      </c>
      <c r="Q12" s="10">
        <v>-450</v>
      </c>
      <c r="R12" s="10">
        <v>1.6</v>
      </c>
      <c r="S12" s="10">
        <v>5.9</v>
      </c>
      <c r="T12" s="10">
        <v>33.1</v>
      </c>
      <c r="U12" s="10">
        <v>1</v>
      </c>
      <c r="V12" s="10">
        <v>0.04</v>
      </c>
      <c r="W12" s="10">
        <v>1E-3</v>
      </c>
      <c r="X12" s="10">
        <v>-1.5</v>
      </c>
      <c r="Y12" s="10">
        <v>1.5E-3</v>
      </c>
      <c r="Z12" s="10">
        <v>200</v>
      </c>
      <c r="AA12" s="10">
        <v>200</v>
      </c>
      <c r="AB12" s="10">
        <v>200</v>
      </c>
      <c r="AC12" s="10">
        <v>200</v>
      </c>
      <c r="AD12" s="10" t="s">
        <v>16</v>
      </c>
      <c r="AE12" s="10" t="s">
        <v>80</v>
      </c>
      <c r="AF12" s="10" t="s">
        <v>518</v>
      </c>
    </row>
    <row r="13" spans="1:33" s="69" customFormat="1">
      <c r="A13" s="69">
        <v>33661</v>
      </c>
      <c r="B13" s="69">
        <v>0.1</v>
      </c>
      <c r="C13" s="69">
        <v>0.1</v>
      </c>
      <c r="D13" s="69">
        <v>0.98</v>
      </c>
      <c r="E13" s="69">
        <v>1.3</v>
      </c>
      <c r="F13" s="69">
        <v>1.3</v>
      </c>
      <c r="G13" s="69">
        <v>1.8</v>
      </c>
      <c r="H13" s="69">
        <v>1.3</v>
      </c>
      <c r="I13" s="69">
        <v>2</v>
      </c>
      <c r="J13" s="69">
        <v>1.2999999999999999E-2</v>
      </c>
      <c r="K13" s="69">
        <v>1.71</v>
      </c>
      <c r="L13" s="69">
        <v>33661</v>
      </c>
      <c r="M13" s="69">
        <v>-999</v>
      </c>
      <c r="N13" s="69">
        <v>6</v>
      </c>
      <c r="O13" s="69">
        <v>11</v>
      </c>
      <c r="P13" s="69">
        <v>300</v>
      </c>
      <c r="Q13" s="69">
        <v>-450</v>
      </c>
      <c r="R13" s="69">
        <v>4</v>
      </c>
      <c r="S13" s="69">
        <v>5.0999999999999996</v>
      </c>
      <c r="T13" s="69">
        <v>7.4</v>
      </c>
      <c r="U13" s="69">
        <v>1</v>
      </c>
      <c r="V13" s="69">
        <v>0.04</v>
      </c>
      <c r="W13" s="69">
        <v>1E-3</v>
      </c>
      <c r="X13" s="69">
        <v>-1.5</v>
      </c>
      <c r="Y13" s="69">
        <v>1.5E-3</v>
      </c>
      <c r="Z13" s="69">
        <v>200</v>
      </c>
      <c r="AA13" s="69">
        <v>200</v>
      </c>
      <c r="AB13" s="69">
        <v>200</v>
      </c>
      <c r="AC13" s="69">
        <v>200</v>
      </c>
      <c r="AD13" s="69" t="s">
        <v>16</v>
      </c>
      <c r="AE13" s="69" t="s">
        <v>91</v>
      </c>
      <c r="AF13" s="69" t="s">
        <v>537</v>
      </c>
    </row>
    <row r="14" spans="1:33" s="69" customFormat="1">
      <c r="A14" s="69">
        <v>33662</v>
      </c>
      <c r="B14" s="69">
        <v>0.12</v>
      </c>
      <c r="C14" s="69">
        <v>0.18</v>
      </c>
      <c r="D14" s="69">
        <v>0.98</v>
      </c>
      <c r="E14" s="69">
        <v>0.3</v>
      </c>
      <c r="F14" s="69">
        <v>0.8</v>
      </c>
      <c r="G14" s="69">
        <v>1</v>
      </c>
      <c r="H14" s="69">
        <v>0.8</v>
      </c>
      <c r="I14" s="69">
        <v>2</v>
      </c>
      <c r="J14" s="69">
        <v>1.2999999999999999E-2</v>
      </c>
      <c r="K14" s="69">
        <v>1.71</v>
      </c>
      <c r="L14" s="69">
        <v>33661</v>
      </c>
      <c r="M14" s="69">
        <v>-999</v>
      </c>
      <c r="N14" s="69">
        <v>6</v>
      </c>
      <c r="O14" s="69">
        <v>11</v>
      </c>
      <c r="P14" s="69">
        <v>300</v>
      </c>
      <c r="Q14" s="69">
        <v>-450</v>
      </c>
      <c r="R14" s="69">
        <v>1</v>
      </c>
      <c r="S14" s="69">
        <v>5.5</v>
      </c>
      <c r="T14" s="70">
        <v>11.7</v>
      </c>
      <c r="U14" s="69">
        <v>1</v>
      </c>
      <c r="V14" s="69">
        <v>0.04</v>
      </c>
      <c r="W14" s="69">
        <v>1E-3</v>
      </c>
      <c r="X14" s="69">
        <v>-1.5</v>
      </c>
      <c r="Y14" s="69">
        <v>1.5E-3</v>
      </c>
      <c r="Z14" s="69">
        <v>200</v>
      </c>
      <c r="AA14" s="69">
        <v>200</v>
      </c>
      <c r="AB14" s="69">
        <v>200</v>
      </c>
      <c r="AC14" s="69">
        <v>200</v>
      </c>
      <c r="AD14" s="69" t="s">
        <v>16</v>
      </c>
      <c r="AE14" s="69" t="s">
        <v>92</v>
      </c>
      <c r="AF14" s="69" t="s">
        <v>537</v>
      </c>
    </row>
    <row r="15" spans="1:33" s="69" customFormat="1">
      <c r="A15" s="69">
        <v>33663</v>
      </c>
      <c r="B15" s="69">
        <v>0.18</v>
      </c>
      <c r="C15" s="69">
        <v>0.21</v>
      </c>
      <c r="D15" s="69">
        <v>0.93</v>
      </c>
      <c r="E15" s="69">
        <v>1.9</v>
      </c>
      <c r="F15" s="69">
        <v>1.9</v>
      </c>
      <c r="G15" s="69">
        <v>2</v>
      </c>
      <c r="H15" s="69">
        <v>1.9</v>
      </c>
      <c r="I15" s="69">
        <v>2</v>
      </c>
      <c r="J15" s="69">
        <v>1.2999999999999999E-2</v>
      </c>
      <c r="K15" s="69">
        <v>1.71</v>
      </c>
      <c r="L15" s="69">
        <v>33661</v>
      </c>
      <c r="M15" s="69">
        <v>-999</v>
      </c>
      <c r="N15" s="69">
        <v>6</v>
      </c>
      <c r="O15" s="69">
        <v>11</v>
      </c>
      <c r="P15" s="69">
        <v>300</v>
      </c>
      <c r="Q15" s="69">
        <v>-450</v>
      </c>
      <c r="R15" s="69">
        <v>1.6</v>
      </c>
      <c r="S15" s="69">
        <v>5.9</v>
      </c>
      <c r="T15" s="69">
        <v>33.1</v>
      </c>
      <c r="U15" s="69">
        <v>1</v>
      </c>
      <c r="V15" s="69">
        <v>0.04</v>
      </c>
      <c r="W15" s="69">
        <v>1E-3</v>
      </c>
      <c r="X15" s="69">
        <v>-1.5</v>
      </c>
      <c r="Y15" s="69">
        <v>1.5E-3</v>
      </c>
      <c r="Z15" s="69">
        <v>200</v>
      </c>
      <c r="AA15" s="69">
        <v>200</v>
      </c>
      <c r="AB15" s="69">
        <v>200</v>
      </c>
      <c r="AC15" s="69">
        <v>200</v>
      </c>
      <c r="AD15" s="69" t="s">
        <v>16</v>
      </c>
      <c r="AE15" s="69" t="s">
        <v>80</v>
      </c>
      <c r="AF15" s="69" t="s">
        <v>537</v>
      </c>
    </row>
    <row r="16" spans="1:33">
      <c r="A16" s="13">
        <v>-9</v>
      </c>
    </row>
    <row r="17" spans="1:10">
      <c r="A17" s="13">
        <v>-9</v>
      </c>
    </row>
    <row r="19" spans="1:10">
      <c r="A19" s="13" t="s">
        <v>16</v>
      </c>
      <c r="E19" s="19" t="s">
        <v>508</v>
      </c>
    </row>
    <row r="20" spans="1:10">
      <c r="A20" s="13" t="s">
        <v>16</v>
      </c>
      <c r="C20" s="13">
        <v>1</v>
      </c>
      <c r="D20" s="13" t="s">
        <v>1</v>
      </c>
      <c r="E20" s="13" t="s">
        <v>471</v>
      </c>
    </row>
    <row r="21" spans="1:10">
      <c r="A21" s="13" t="s">
        <v>16</v>
      </c>
      <c r="C21" s="13">
        <v>2</v>
      </c>
      <c r="D21" s="13" t="s">
        <v>130</v>
      </c>
      <c r="E21" s="13" t="s">
        <v>532</v>
      </c>
    </row>
    <row r="22" spans="1:10">
      <c r="A22" s="13" t="s">
        <v>16</v>
      </c>
      <c r="C22" s="13">
        <v>3</v>
      </c>
      <c r="D22" s="13" t="s">
        <v>131</v>
      </c>
      <c r="E22" s="13" t="s">
        <v>531</v>
      </c>
    </row>
    <row r="23" spans="1:10">
      <c r="A23" s="13" t="s">
        <v>16</v>
      </c>
      <c r="C23" s="13">
        <v>4</v>
      </c>
      <c r="D23" s="13" t="s">
        <v>10</v>
      </c>
      <c r="E23" s="13" t="s">
        <v>248</v>
      </c>
    </row>
    <row r="24" spans="1:10">
      <c r="A24" s="13" t="s">
        <v>16</v>
      </c>
      <c r="C24" s="13">
        <v>5</v>
      </c>
      <c r="D24" s="13" t="s">
        <v>113</v>
      </c>
      <c r="E24" s="13" t="s">
        <v>249</v>
      </c>
      <c r="F24" s="16"/>
      <c r="G24" s="16"/>
      <c r="H24" s="16"/>
      <c r="J24" s="13" t="s">
        <v>213</v>
      </c>
    </row>
    <row r="25" spans="1:10">
      <c r="A25" s="13" t="s">
        <v>16</v>
      </c>
      <c r="C25" s="13">
        <v>6</v>
      </c>
      <c r="D25" s="13" t="s">
        <v>114</v>
      </c>
      <c r="E25" s="13" t="s">
        <v>250</v>
      </c>
      <c r="J25" s="13" t="s">
        <v>213</v>
      </c>
    </row>
    <row r="26" spans="1:10">
      <c r="A26" s="13" t="s">
        <v>16</v>
      </c>
      <c r="C26" s="13">
        <v>7</v>
      </c>
      <c r="D26" s="6" t="s">
        <v>529</v>
      </c>
      <c r="E26" s="6" t="s">
        <v>528</v>
      </c>
      <c r="F26" s="6"/>
      <c r="G26" s="6"/>
      <c r="H26" s="6"/>
      <c r="I26" s="6"/>
      <c r="J26" s="6" t="s">
        <v>213</v>
      </c>
    </row>
    <row r="27" spans="1:10">
      <c r="A27" s="13" t="s">
        <v>16</v>
      </c>
      <c r="C27" s="13">
        <v>8</v>
      </c>
      <c r="D27" s="13" t="s">
        <v>505</v>
      </c>
      <c r="E27" s="6" t="s">
        <v>506</v>
      </c>
      <c r="F27" s="6"/>
      <c r="G27" s="6"/>
      <c r="H27" s="6"/>
      <c r="I27" s="6"/>
      <c r="J27" s="6" t="s">
        <v>213</v>
      </c>
    </row>
    <row r="28" spans="1:10">
      <c r="A28" s="13" t="s">
        <v>16</v>
      </c>
      <c r="C28" s="13">
        <v>9</v>
      </c>
      <c r="D28" s="13" t="s">
        <v>115</v>
      </c>
      <c r="E28" s="13" t="s">
        <v>251</v>
      </c>
    </row>
    <row r="29" spans="1:10">
      <c r="A29" s="13" t="s">
        <v>16</v>
      </c>
      <c r="C29" s="13">
        <v>10</v>
      </c>
      <c r="D29" s="13" t="s">
        <v>116</v>
      </c>
      <c r="E29" s="13" t="s">
        <v>252</v>
      </c>
    </row>
    <row r="30" spans="1:10">
      <c r="A30" s="13" t="s">
        <v>16</v>
      </c>
      <c r="C30" s="13">
        <v>11</v>
      </c>
      <c r="D30" s="13" t="s">
        <v>117</v>
      </c>
      <c r="E30" s="13" t="s">
        <v>252</v>
      </c>
    </row>
    <row r="31" spans="1:10">
      <c r="A31" s="13" t="s">
        <v>16</v>
      </c>
      <c r="C31" s="13">
        <v>12</v>
      </c>
      <c r="D31" s="13" t="s">
        <v>17</v>
      </c>
      <c r="E31" s="13" t="s">
        <v>253</v>
      </c>
    </row>
    <row r="32" spans="1:10">
      <c r="A32" s="13" t="s">
        <v>16</v>
      </c>
      <c r="C32" s="13">
        <v>13</v>
      </c>
      <c r="D32" s="13" t="s">
        <v>119</v>
      </c>
      <c r="E32" s="13" t="s">
        <v>254</v>
      </c>
      <c r="J32" s="13" t="s">
        <v>213</v>
      </c>
    </row>
    <row r="33" spans="1:10">
      <c r="A33" s="13" t="s">
        <v>16</v>
      </c>
      <c r="C33" s="13">
        <v>14</v>
      </c>
      <c r="D33" s="13" t="s">
        <v>11</v>
      </c>
      <c r="E33" s="13" t="s">
        <v>257</v>
      </c>
      <c r="J33" s="13" t="s">
        <v>258</v>
      </c>
    </row>
    <row r="34" spans="1:10">
      <c r="A34" s="13" t="s">
        <v>16</v>
      </c>
      <c r="C34" s="13">
        <v>15</v>
      </c>
      <c r="D34" s="13" t="s">
        <v>3</v>
      </c>
      <c r="E34" s="13" t="s">
        <v>259</v>
      </c>
      <c r="J34" s="13" t="s">
        <v>258</v>
      </c>
    </row>
    <row r="35" spans="1:10">
      <c r="A35" s="13" t="s">
        <v>16</v>
      </c>
      <c r="C35" s="13">
        <v>16</v>
      </c>
      <c r="D35" s="13" t="s">
        <v>12</v>
      </c>
      <c r="E35" s="13" t="s">
        <v>260</v>
      </c>
      <c r="J35" s="13" t="s">
        <v>258</v>
      </c>
    </row>
    <row r="36" spans="1:10">
      <c r="A36" s="13" t="s">
        <v>16</v>
      </c>
      <c r="C36" s="13">
        <v>17</v>
      </c>
      <c r="D36" s="13" t="s">
        <v>13</v>
      </c>
      <c r="E36" s="13" t="s">
        <v>479</v>
      </c>
      <c r="J36" s="13" t="s">
        <v>258</v>
      </c>
    </row>
    <row r="37" spans="1:10">
      <c r="A37" s="13" t="s">
        <v>16</v>
      </c>
      <c r="C37" s="13">
        <v>18</v>
      </c>
      <c r="D37" s="13" t="s">
        <v>120</v>
      </c>
      <c r="E37" s="13" t="s">
        <v>261</v>
      </c>
      <c r="J37" s="13" t="s">
        <v>263</v>
      </c>
    </row>
    <row r="38" spans="1:10">
      <c r="A38" s="13" t="s">
        <v>16</v>
      </c>
      <c r="C38" s="13">
        <v>19</v>
      </c>
      <c r="D38" s="13" t="s">
        <v>121</v>
      </c>
      <c r="E38" s="13" t="s">
        <v>262</v>
      </c>
      <c r="J38" s="13" t="s">
        <v>263</v>
      </c>
    </row>
    <row r="39" spans="1:10">
      <c r="A39" s="13" t="s">
        <v>16</v>
      </c>
      <c r="C39" s="13">
        <v>20</v>
      </c>
      <c r="D39" s="13" t="s">
        <v>264</v>
      </c>
      <c r="E39" s="13" t="s">
        <v>267</v>
      </c>
      <c r="J39" s="13" t="s">
        <v>265</v>
      </c>
    </row>
    <row r="40" spans="1:10">
      <c r="A40" s="13" t="s">
        <v>16</v>
      </c>
      <c r="C40" s="13">
        <v>21</v>
      </c>
      <c r="D40" s="13" t="s">
        <v>122</v>
      </c>
      <c r="E40" s="13" t="s">
        <v>266</v>
      </c>
    </row>
    <row r="41" spans="1:10">
      <c r="A41" s="13" t="s">
        <v>16</v>
      </c>
      <c r="C41" s="13">
        <v>22</v>
      </c>
      <c r="D41" s="13" t="s">
        <v>123</v>
      </c>
    </row>
    <row r="42" spans="1:10">
      <c r="A42" s="13" t="s">
        <v>16</v>
      </c>
      <c r="C42" s="13">
        <v>23</v>
      </c>
      <c r="D42" s="13" t="s">
        <v>124</v>
      </c>
    </row>
    <row r="43" spans="1:10">
      <c r="A43" s="13" t="s">
        <v>16</v>
      </c>
      <c r="C43" s="13">
        <v>24</v>
      </c>
      <c r="D43" s="13" t="s">
        <v>125</v>
      </c>
    </row>
    <row r="44" spans="1:10">
      <c r="A44" s="13" t="s">
        <v>16</v>
      </c>
      <c r="C44" s="13">
        <v>25</v>
      </c>
      <c r="D44" s="13" t="s">
        <v>126</v>
      </c>
    </row>
    <row r="45" spans="1:10">
      <c r="A45" s="13" t="s">
        <v>16</v>
      </c>
      <c r="C45" s="13">
        <v>26</v>
      </c>
      <c r="D45" s="13" t="s">
        <v>156</v>
      </c>
    </row>
    <row r="46" spans="1:10">
      <c r="A46" s="13" t="s">
        <v>16</v>
      </c>
      <c r="C46" s="13">
        <v>27</v>
      </c>
      <c r="D46" s="13" t="s">
        <v>157</v>
      </c>
    </row>
    <row r="47" spans="1:10">
      <c r="A47" s="13" t="s">
        <v>16</v>
      </c>
      <c r="C47" s="13">
        <v>28</v>
      </c>
      <c r="D47" s="13" t="s">
        <v>158</v>
      </c>
    </row>
    <row r="48" spans="1:10">
      <c r="A48" s="13" t="s">
        <v>16</v>
      </c>
      <c r="C48" s="13">
        <v>29</v>
      </c>
      <c r="D48" s="13" t="s">
        <v>159</v>
      </c>
    </row>
    <row r="53" spans="3:3">
      <c r="C53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26"/>
  <sheetViews>
    <sheetView workbookViewId="0">
      <selection activeCell="F11" sqref="F11"/>
    </sheetView>
  </sheetViews>
  <sheetFormatPr defaultRowHeight="12.75"/>
  <cols>
    <col min="1" max="11" width="9.140625" style="6"/>
    <col min="12" max="12" width="8" style="6" customWidth="1"/>
    <col min="13" max="15" width="9.140625" style="6"/>
    <col min="16" max="16" width="3.5703125" style="6" customWidth="1"/>
    <col min="17" max="17" width="18.7109375" style="6" bestFit="1" customWidth="1"/>
    <col min="18" max="16384" width="9.140625" style="6"/>
  </cols>
  <sheetData>
    <row r="1" spans="1:20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</row>
    <row r="2" spans="1:20">
      <c r="A2" s="6" t="s">
        <v>1</v>
      </c>
      <c r="B2" s="6" t="s">
        <v>130</v>
      </c>
      <c r="C2" s="6" t="s">
        <v>131</v>
      </c>
      <c r="D2" s="6" t="s">
        <v>10</v>
      </c>
      <c r="E2" s="6" t="s">
        <v>113</v>
      </c>
      <c r="F2" s="6" t="s">
        <v>114</v>
      </c>
      <c r="G2" s="21" t="s">
        <v>529</v>
      </c>
      <c r="H2" s="6" t="s">
        <v>505</v>
      </c>
      <c r="I2" s="6" t="s">
        <v>115</v>
      </c>
      <c r="J2" s="6" t="s">
        <v>116</v>
      </c>
      <c r="K2" s="6" t="s">
        <v>117</v>
      </c>
      <c r="L2" s="6" t="s">
        <v>156</v>
      </c>
      <c r="M2" s="6" t="s">
        <v>157</v>
      </c>
      <c r="N2" s="6" t="s">
        <v>158</v>
      </c>
      <c r="O2" s="6" t="s">
        <v>159</v>
      </c>
    </row>
    <row r="3" spans="1:20">
      <c r="A3" s="6">
        <v>1000</v>
      </c>
      <c r="B3" s="6">
        <v>0.08</v>
      </c>
      <c r="C3" s="6">
        <v>0.08</v>
      </c>
      <c r="D3" s="6">
        <v>0.95</v>
      </c>
      <c r="E3" s="6">
        <v>0.5</v>
      </c>
      <c r="F3" s="6">
        <v>0.5</v>
      </c>
      <c r="G3" s="6">
        <v>0.5</v>
      </c>
      <c r="H3" s="6">
        <v>2000</v>
      </c>
      <c r="I3" s="6">
        <v>0</v>
      </c>
      <c r="J3" s="6">
        <v>0</v>
      </c>
      <c r="K3" s="6">
        <v>0</v>
      </c>
      <c r="L3" s="6">
        <v>60</v>
      </c>
      <c r="M3" s="6">
        <v>60</v>
      </c>
      <c r="N3" s="6">
        <v>60</v>
      </c>
      <c r="O3" s="6">
        <v>60</v>
      </c>
      <c r="P3" s="6" t="s">
        <v>16</v>
      </c>
      <c r="Q3" s="6" t="s">
        <v>25</v>
      </c>
      <c r="R3" s="6" t="s">
        <v>39</v>
      </c>
    </row>
    <row r="4" spans="1:20" s="7" customFormat="1">
      <c r="A4" s="7">
        <v>551</v>
      </c>
      <c r="B4" s="7">
        <v>0.1</v>
      </c>
      <c r="C4" s="7">
        <v>0.1</v>
      </c>
      <c r="D4" s="7">
        <v>0.95</v>
      </c>
      <c r="E4" s="7">
        <v>0.5</v>
      </c>
      <c r="F4" s="7">
        <v>0.5</v>
      </c>
      <c r="G4" s="7">
        <v>0.5</v>
      </c>
      <c r="H4" s="7">
        <v>1000</v>
      </c>
      <c r="I4" s="7">
        <v>-999</v>
      </c>
      <c r="J4" s="7">
        <v>-999</v>
      </c>
      <c r="K4" s="7">
        <v>-999</v>
      </c>
      <c r="L4" s="7">
        <v>60</v>
      </c>
      <c r="M4" s="7">
        <v>60</v>
      </c>
      <c r="N4" s="7">
        <v>60</v>
      </c>
      <c r="O4" s="7">
        <v>60</v>
      </c>
      <c r="P4" s="8" t="s">
        <v>16</v>
      </c>
      <c r="Q4" s="8" t="s">
        <v>523</v>
      </c>
      <c r="R4" s="8" t="s">
        <v>366</v>
      </c>
      <c r="T4" s="8"/>
    </row>
    <row r="5" spans="1:20" s="9" customFormat="1">
      <c r="A5" s="9">
        <v>661</v>
      </c>
      <c r="B5" s="9">
        <v>0.1</v>
      </c>
      <c r="C5" s="9">
        <v>0.1</v>
      </c>
      <c r="D5" s="9">
        <v>0.95</v>
      </c>
      <c r="E5" s="9">
        <v>0.5</v>
      </c>
      <c r="F5" s="9">
        <v>0.5</v>
      </c>
      <c r="G5" s="9">
        <v>0.5</v>
      </c>
      <c r="H5" s="9">
        <v>30000</v>
      </c>
      <c r="I5" s="9">
        <v>0</v>
      </c>
      <c r="J5" s="9">
        <v>0</v>
      </c>
      <c r="K5" s="9">
        <v>0</v>
      </c>
      <c r="L5" s="9">
        <v>60</v>
      </c>
      <c r="M5" s="9">
        <v>60</v>
      </c>
      <c r="N5" s="9">
        <v>60</v>
      </c>
      <c r="O5" s="9">
        <v>60</v>
      </c>
      <c r="P5" s="10" t="s">
        <v>16</v>
      </c>
      <c r="Q5" s="10" t="s">
        <v>518</v>
      </c>
      <c r="R5" s="10"/>
      <c r="S5" s="10"/>
      <c r="T5" s="10"/>
    </row>
    <row r="6" spans="1:20" s="68" customFormat="1">
      <c r="A6" s="68">
        <v>33661</v>
      </c>
      <c r="B6" s="68">
        <v>0.1</v>
      </c>
      <c r="C6" s="68">
        <v>0.1</v>
      </c>
      <c r="D6" s="68">
        <v>0.95</v>
      </c>
      <c r="E6" s="68">
        <v>0.5</v>
      </c>
      <c r="F6" s="68">
        <v>0.5</v>
      </c>
      <c r="G6" s="68">
        <v>0.5</v>
      </c>
      <c r="H6" s="68">
        <v>30000</v>
      </c>
      <c r="I6" s="68">
        <v>0</v>
      </c>
      <c r="J6" s="68">
        <v>0</v>
      </c>
      <c r="K6" s="68">
        <v>0</v>
      </c>
      <c r="L6" s="68">
        <v>60</v>
      </c>
      <c r="M6" s="68">
        <v>60</v>
      </c>
      <c r="N6" s="68">
        <v>60</v>
      </c>
      <c r="O6" s="68">
        <v>60</v>
      </c>
      <c r="P6" s="69" t="s">
        <v>16</v>
      </c>
      <c r="Q6" s="69" t="s">
        <v>537</v>
      </c>
      <c r="R6" s="69"/>
      <c r="S6" s="69"/>
    </row>
    <row r="7" spans="1:20">
      <c r="A7" s="6">
        <v>-9</v>
      </c>
    </row>
    <row r="8" spans="1:20">
      <c r="A8" s="6">
        <v>-9</v>
      </c>
    </row>
    <row r="11" spans="1:20">
      <c r="A11" s="6" t="s">
        <v>16</v>
      </c>
      <c r="E11" s="18" t="s">
        <v>268</v>
      </c>
    </row>
    <row r="12" spans="1:20">
      <c r="A12" s="5" t="s">
        <v>16</v>
      </c>
      <c r="B12" s="5">
        <v>1</v>
      </c>
      <c r="C12" s="5"/>
      <c r="D12" s="5" t="s">
        <v>1</v>
      </c>
      <c r="E12" s="5" t="s">
        <v>269</v>
      </c>
      <c r="F12" s="5"/>
      <c r="G12" s="5"/>
      <c r="H12" s="5"/>
      <c r="I12" s="5"/>
      <c r="J12" s="5"/>
      <c r="L12" s="6" t="s">
        <v>270</v>
      </c>
    </row>
    <row r="13" spans="1:20">
      <c r="A13" s="6" t="s">
        <v>16</v>
      </c>
      <c r="B13" s="6">
        <v>2</v>
      </c>
      <c r="D13" s="6" t="s">
        <v>535</v>
      </c>
      <c r="E13" s="6" t="s">
        <v>247</v>
      </c>
    </row>
    <row r="14" spans="1:20">
      <c r="A14" s="6" t="s">
        <v>16</v>
      </c>
      <c r="B14" s="6">
        <v>3</v>
      </c>
      <c r="D14" s="6" t="s">
        <v>131</v>
      </c>
      <c r="E14" s="6" t="s">
        <v>533</v>
      </c>
    </row>
    <row r="15" spans="1:20">
      <c r="A15" s="6" t="s">
        <v>16</v>
      </c>
      <c r="B15" s="6">
        <v>4</v>
      </c>
      <c r="D15" s="6" t="s">
        <v>10</v>
      </c>
      <c r="E15" s="6" t="s">
        <v>248</v>
      </c>
    </row>
    <row r="16" spans="1:20">
      <c r="A16" s="6" t="s">
        <v>16</v>
      </c>
      <c r="B16" s="6">
        <v>5</v>
      </c>
      <c r="D16" s="6" t="s">
        <v>113</v>
      </c>
      <c r="E16" s="6" t="s">
        <v>249</v>
      </c>
      <c r="F16" s="11"/>
      <c r="G16" s="11"/>
      <c r="H16" s="11"/>
      <c r="J16" s="6" t="s">
        <v>213</v>
      </c>
    </row>
    <row r="17" spans="1:12">
      <c r="A17" s="6" t="s">
        <v>16</v>
      </c>
      <c r="B17" s="5">
        <v>6</v>
      </c>
      <c r="D17" s="6" t="s">
        <v>114</v>
      </c>
      <c r="E17" s="6" t="s">
        <v>250</v>
      </c>
      <c r="J17" s="6" t="s">
        <v>213</v>
      </c>
    </row>
    <row r="18" spans="1:12">
      <c r="A18" s="6" t="s">
        <v>16</v>
      </c>
      <c r="B18" s="6">
        <v>7</v>
      </c>
      <c r="C18" s="5"/>
      <c r="D18" s="6" t="s">
        <v>529</v>
      </c>
      <c r="E18" s="6" t="s">
        <v>528</v>
      </c>
      <c r="J18" s="6" t="s">
        <v>213</v>
      </c>
    </row>
    <row r="19" spans="1:12">
      <c r="A19" s="6" t="s">
        <v>16</v>
      </c>
      <c r="B19" s="6">
        <v>8</v>
      </c>
      <c r="D19" s="6" t="s">
        <v>505</v>
      </c>
      <c r="E19" s="6" t="s">
        <v>506</v>
      </c>
      <c r="J19" s="6" t="s">
        <v>213</v>
      </c>
    </row>
    <row r="20" spans="1:12">
      <c r="A20" s="6" t="s">
        <v>16</v>
      </c>
      <c r="B20" s="6">
        <v>9</v>
      </c>
      <c r="D20" s="6" t="s">
        <v>115</v>
      </c>
      <c r="E20" s="6" t="s">
        <v>251</v>
      </c>
      <c r="L20" s="5" t="s">
        <v>271</v>
      </c>
    </row>
    <row r="21" spans="1:12">
      <c r="A21" s="6" t="s">
        <v>16</v>
      </c>
      <c r="B21" s="6">
        <v>10</v>
      </c>
      <c r="D21" s="6" t="s">
        <v>116</v>
      </c>
      <c r="E21" s="6" t="s">
        <v>252</v>
      </c>
      <c r="L21" s="5" t="s">
        <v>271</v>
      </c>
    </row>
    <row r="22" spans="1:12">
      <c r="A22" s="6" t="s">
        <v>16</v>
      </c>
      <c r="B22" s="5">
        <v>11</v>
      </c>
      <c r="D22" s="6" t="s">
        <v>117</v>
      </c>
      <c r="E22" s="6" t="s">
        <v>252</v>
      </c>
      <c r="L22" s="5" t="s">
        <v>271</v>
      </c>
    </row>
    <row r="23" spans="1:12">
      <c r="A23" s="6" t="s">
        <v>16</v>
      </c>
      <c r="B23" s="6">
        <v>12</v>
      </c>
      <c r="C23" s="5"/>
      <c r="D23" s="6" t="s">
        <v>156</v>
      </c>
      <c r="L23" s="6" t="s">
        <v>256</v>
      </c>
    </row>
    <row r="24" spans="1:12">
      <c r="A24" s="6" t="s">
        <v>16</v>
      </c>
      <c r="B24" s="6">
        <v>13</v>
      </c>
      <c r="D24" s="6" t="s">
        <v>157</v>
      </c>
    </row>
    <row r="25" spans="1:12">
      <c r="A25" s="6" t="s">
        <v>16</v>
      </c>
      <c r="B25" s="6">
        <v>14</v>
      </c>
      <c r="D25" s="6" t="s">
        <v>158</v>
      </c>
      <c r="E25" s="12"/>
      <c r="F25" s="12"/>
      <c r="G25" s="12"/>
      <c r="H25" s="12"/>
      <c r="I25" s="12"/>
      <c r="J25" s="12"/>
      <c r="K25" s="12"/>
      <c r="L25" s="12"/>
    </row>
    <row r="26" spans="1:12">
      <c r="A26" s="6" t="s">
        <v>16</v>
      </c>
      <c r="B26" s="6">
        <v>15</v>
      </c>
      <c r="D26" s="6" t="s">
        <v>159</v>
      </c>
      <c r="E26" s="12"/>
      <c r="F26" s="12"/>
      <c r="G26" s="12"/>
      <c r="H26" s="12"/>
      <c r="I26" s="12"/>
      <c r="J26" s="12"/>
      <c r="K26" s="12"/>
      <c r="L26" s="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30"/>
  <sheetViews>
    <sheetView workbookViewId="0">
      <selection activeCell="K8" sqref="K8"/>
    </sheetView>
  </sheetViews>
  <sheetFormatPr defaultRowHeight="12.75"/>
  <cols>
    <col min="1" max="12" width="9.140625" style="6" customWidth="1"/>
    <col min="13" max="13" width="9.140625" style="6"/>
    <col min="14" max="16" width="9.140625" style="6" customWidth="1"/>
    <col min="17" max="19" width="9.140625" style="6"/>
    <col min="20" max="22" width="9.140625" style="6" customWidth="1"/>
    <col min="23" max="16384" width="9.140625" style="6"/>
  </cols>
  <sheetData>
    <row r="1" spans="1:22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</row>
    <row r="2" spans="1:22">
      <c r="A2" s="6" t="s">
        <v>1</v>
      </c>
      <c r="B2" s="6" t="s">
        <v>128</v>
      </c>
      <c r="C2" s="6" t="s">
        <v>129</v>
      </c>
      <c r="D2" s="6" t="s">
        <v>130</v>
      </c>
      <c r="E2" s="6" t="s">
        <v>131</v>
      </c>
      <c r="F2" s="6" t="s">
        <v>10</v>
      </c>
      <c r="G2" s="6" t="s">
        <v>137</v>
      </c>
      <c r="H2" s="6" t="s">
        <v>136</v>
      </c>
      <c r="I2" s="6" t="s">
        <v>132</v>
      </c>
      <c r="J2" s="6" t="s">
        <v>133</v>
      </c>
      <c r="K2" s="6" t="s">
        <v>134</v>
      </c>
      <c r="L2" s="6" t="s">
        <v>135</v>
      </c>
      <c r="M2" s="6" t="s">
        <v>138</v>
      </c>
      <c r="N2" s="6" t="s">
        <v>139</v>
      </c>
      <c r="O2" s="6" t="s">
        <v>146</v>
      </c>
      <c r="P2" s="6" t="s">
        <v>156</v>
      </c>
      <c r="Q2" s="6" t="s">
        <v>157</v>
      </c>
      <c r="R2" s="6" t="s">
        <v>158</v>
      </c>
      <c r="S2" s="6" t="s">
        <v>159</v>
      </c>
    </row>
    <row r="3" spans="1:22">
      <c r="A3" s="6">
        <v>1</v>
      </c>
      <c r="B3" s="6">
        <v>1.6000000000000001E-3</v>
      </c>
      <c r="C3" s="6">
        <v>0.12</v>
      </c>
      <c r="D3" s="6">
        <v>0.18</v>
      </c>
      <c r="E3" s="6">
        <v>0.85</v>
      </c>
      <c r="F3" s="6">
        <v>0.99</v>
      </c>
      <c r="G3" s="6">
        <v>1.7999999999999999E-2</v>
      </c>
      <c r="H3" s="6">
        <v>0.11</v>
      </c>
      <c r="I3" s="6">
        <v>2</v>
      </c>
      <c r="J3" s="6">
        <v>100</v>
      </c>
      <c r="K3" s="6">
        <v>400</v>
      </c>
      <c r="L3" s="6">
        <v>4.2999999999999997E-2</v>
      </c>
      <c r="M3" s="6">
        <v>0.05</v>
      </c>
      <c r="N3" s="6">
        <v>0.2</v>
      </c>
      <c r="O3" s="6">
        <v>2.2000000000000002</v>
      </c>
      <c r="P3" s="6">
        <v>61</v>
      </c>
      <c r="Q3" s="6">
        <v>61</v>
      </c>
      <c r="R3" s="6">
        <v>61</v>
      </c>
      <c r="S3" s="6">
        <v>61</v>
      </c>
      <c r="T3" s="6" t="s">
        <v>16</v>
      </c>
      <c r="U3" s="6" t="s">
        <v>98</v>
      </c>
      <c r="V3" s="6" t="s">
        <v>39</v>
      </c>
    </row>
    <row r="4" spans="1:22" s="7" customFormat="1">
      <c r="A4" s="7">
        <v>550</v>
      </c>
      <c r="B4" s="7">
        <v>1E-3</v>
      </c>
      <c r="C4" s="7">
        <v>0.14000000000000001</v>
      </c>
      <c r="D4" s="7">
        <v>0.18</v>
      </c>
      <c r="E4" s="7">
        <v>0.8</v>
      </c>
      <c r="F4" s="7">
        <v>0.99</v>
      </c>
      <c r="G4" s="7">
        <v>0.01</v>
      </c>
      <c r="H4" s="7">
        <v>0.1</v>
      </c>
      <c r="I4" s="7">
        <v>2</v>
      </c>
      <c r="J4" s="7">
        <v>100</v>
      </c>
      <c r="K4" s="7">
        <v>450</v>
      </c>
      <c r="L4" s="7">
        <v>0.02</v>
      </c>
      <c r="M4" s="7">
        <v>0.03</v>
      </c>
      <c r="N4" s="7">
        <v>0.1</v>
      </c>
      <c r="O4" s="7">
        <v>2.2000000000000002</v>
      </c>
      <c r="P4" s="7">
        <v>61</v>
      </c>
      <c r="Q4" s="7">
        <v>61</v>
      </c>
      <c r="R4" s="7">
        <v>61</v>
      </c>
      <c r="S4" s="7">
        <v>61</v>
      </c>
      <c r="T4" s="7" t="s">
        <v>16</v>
      </c>
      <c r="U4" s="7" t="s">
        <v>365</v>
      </c>
      <c r="V4" s="7" t="s">
        <v>366</v>
      </c>
    </row>
    <row r="5" spans="1:22" s="9" customFormat="1">
      <c r="A5" s="9">
        <v>660</v>
      </c>
      <c r="B5" s="9">
        <v>1E-3</v>
      </c>
      <c r="C5" s="9">
        <v>0.14000000000000001</v>
      </c>
      <c r="D5" s="9">
        <v>0.18</v>
      </c>
      <c r="E5" s="9">
        <v>0.8</v>
      </c>
      <c r="F5" s="9">
        <v>0.99</v>
      </c>
      <c r="G5" s="9">
        <v>0.01</v>
      </c>
      <c r="H5" s="9">
        <v>0.1</v>
      </c>
      <c r="I5" s="9">
        <v>2</v>
      </c>
      <c r="J5" s="9">
        <v>100</v>
      </c>
      <c r="K5" s="9">
        <v>450</v>
      </c>
      <c r="L5" s="9">
        <v>0.02</v>
      </c>
      <c r="M5" s="9">
        <v>0.03</v>
      </c>
      <c r="N5" s="9">
        <v>0.1</v>
      </c>
      <c r="O5" s="9">
        <v>2.2000000000000002</v>
      </c>
      <c r="P5" s="9">
        <v>61</v>
      </c>
      <c r="Q5" s="9">
        <v>61</v>
      </c>
      <c r="R5" s="9">
        <v>61</v>
      </c>
      <c r="S5" s="9">
        <v>61</v>
      </c>
      <c r="T5" s="9" t="s">
        <v>16</v>
      </c>
      <c r="U5" s="9" t="s">
        <v>518</v>
      </c>
    </row>
    <row r="6" spans="1:22" s="68" customFormat="1">
      <c r="A6" s="68">
        <v>33660</v>
      </c>
      <c r="B6" s="68">
        <v>1E-3</v>
      </c>
      <c r="C6" s="68">
        <v>0.14000000000000001</v>
      </c>
      <c r="D6" s="68">
        <v>0.18</v>
      </c>
      <c r="E6" s="68">
        <v>0.8</v>
      </c>
      <c r="F6" s="68">
        <v>0.99</v>
      </c>
      <c r="G6" s="68">
        <v>0.01</v>
      </c>
      <c r="H6" s="68">
        <v>0.1</v>
      </c>
      <c r="I6" s="68">
        <v>2</v>
      </c>
      <c r="J6" s="68">
        <v>100</v>
      </c>
      <c r="K6" s="68">
        <v>450</v>
      </c>
      <c r="L6" s="68">
        <v>0.02</v>
      </c>
      <c r="M6" s="68">
        <v>0.03</v>
      </c>
      <c r="N6" s="68">
        <v>0.1</v>
      </c>
      <c r="O6" s="68">
        <v>2.2000000000000002</v>
      </c>
      <c r="P6" s="68">
        <v>61</v>
      </c>
      <c r="Q6" s="68">
        <v>61</v>
      </c>
      <c r="R6" s="68">
        <v>61</v>
      </c>
      <c r="S6" s="68">
        <v>61</v>
      </c>
      <c r="T6" s="68" t="s">
        <v>16</v>
      </c>
      <c r="U6" s="68" t="s">
        <v>537</v>
      </c>
    </row>
    <row r="7" spans="1:22">
      <c r="A7" s="6">
        <v>-9</v>
      </c>
    </row>
    <row r="8" spans="1:22">
      <c r="A8" s="6">
        <v>-9</v>
      </c>
    </row>
    <row r="10" spans="1:22">
      <c r="A10" s="13"/>
      <c r="B10" s="13"/>
      <c r="C10" s="13"/>
      <c r="D10" s="15"/>
      <c r="E10" s="13"/>
      <c r="F10" s="13"/>
      <c r="G10" s="13"/>
      <c r="H10" s="13"/>
    </row>
    <row r="11" spans="1:22">
      <c r="A11" s="13" t="s">
        <v>16</v>
      </c>
      <c r="B11" s="13">
        <v>1</v>
      </c>
      <c r="C11" s="13" t="s">
        <v>1</v>
      </c>
      <c r="D11" s="13" t="s">
        <v>272</v>
      </c>
      <c r="E11" s="13"/>
      <c r="F11" s="13"/>
      <c r="G11" s="13"/>
      <c r="H11" s="13" t="s">
        <v>273</v>
      </c>
    </row>
    <row r="12" spans="1:22">
      <c r="A12" s="13" t="s">
        <v>16</v>
      </c>
      <c r="B12" s="13">
        <v>2</v>
      </c>
      <c r="C12" s="6" t="s">
        <v>128</v>
      </c>
      <c r="D12" s="13" t="s">
        <v>274</v>
      </c>
      <c r="E12" s="13"/>
      <c r="F12" s="13"/>
      <c r="G12" s="13"/>
      <c r="H12" s="13"/>
    </row>
    <row r="13" spans="1:22">
      <c r="A13" s="13" t="s">
        <v>16</v>
      </c>
      <c r="B13" s="13">
        <v>3</v>
      </c>
      <c r="C13" s="6" t="s">
        <v>129</v>
      </c>
      <c r="D13" s="13" t="s">
        <v>275</v>
      </c>
      <c r="E13" s="13"/>
      <c r="F13" s="13"/>
      <c r="G13" s="13"/>
      <c r="H13" s="13"/>
    </row>
    <row r="14" spans="1:22">
      <c r="A14" s="13" t="s">
        <v>16</v>
      </c>
      <c r="B14" s="13">
        <v>4</v>
      </c>
      <c r="C14" s="6" t="s">
        <v>130</v>
      </c>
      <c r="D14" s="13" t="s">
        <v>276</v>
      </c>
    </row>
    <row r="15" spans="1:22">
      <c r="A15" s="13" t="s">
        <v>16</v>
      </c>
      <c r="B15" s="13">
        <v>5</v>
      </c>
      <c r="C15" s="6" t="s">
        <v>131</v>
      </c>
      <c r="D15" s="13" t="s">
        <v>277</v>
      </c>
    </row>
    <row r="16" spans="1:22">
      <c r="A16" s="13" t="s">
        <v>16</v>
      </c>
      <c r="B16" s="13">
        <v>6</v>
      </c>
      <c r="C16" s="6" t="s">
        <v>2</v>
      </c>
      <c r="D16" s="13" t="s">
        <v>2</v>
      </c>
    </row>
    <row r="17" spans="1:8">
      <c r="A17" s="13" t="s">
        <v>16</v>
      </c>
      <c r="B17" s="13">
        <v>7</v>
      </c>
      <c r="C17" s="6" t="s">
        <v>10</v>
      </c>
      <c r="D17" s="13" t="s">
        <v>10</v>
      </c>
    </row>
    <row r="18" spans="1:8">
      <c r="A18" s="13" t="s">
        <v>16</v>
      </c>
      <c r="B18" s="13">
        <v>8</v>
      </c>
      <c r="C18" s="6" t="s">
        <v>137</v>
      </c>
      <c r="D18" s="13" t="s">
        <v>278</v>
      </c>
    </row>
    <row r="19" spans="1:8">
      <c r="A19" s="13" t="s">
        <v>16</v>
      </c>
      <c r="B19" s="13">
        <v>9</v>
      </c>
      <c r="C19" s="6" t="s">
        <v>136</v>
      </c>
      <c r="D19" s="13" t="s">
        <v>279</v>
      </c>
    </row>
    <row r="20" spans="1:8">
      <c r="A20" s="13" t="s">
        <v>16</v>
      </c>
      <c r="B20" s="13">
        <v>10</v>
      </c>
      <c r="C20" s="6" t="s">
        <v>132</v>
      </c>
      <c r="D20" s="13" t="s">
        <v>280</v>
      </c>
    </row>
    <row r="21" spans="1:8">
      <c r="A21" s="13" t="s">
        <v>16</v>
      </c>
      <c r="B21" s="13">
        <v>11</v>
      </c>
      <c r="C21" s="6" t="s">
        <v>133</v>
      </c>
      <c r="D21" s="13" t="s">
        <v>281</v>
      </c>
      <c r="F21" s="6" t="s">
        <v>283</v>
      </c>
    </row>
    <row r="22" spans="1:8">
      <c r="A22" s="13" t="s">
        <v>16</v>
      </c>
      <c r="B22" s="13">
        <v>12</v>
      </c>
      <c r="C22" s="6" t="s">
        <v>134</v>
      </c>
      <c r="D22" s="13" t="s">
        <v>282</v>
      </c>
      <c r="F22" s="6" t="s">
        <v>283</v>
      </c>
    </row>
    <row r="23" spans="1:8">
      <c r="A23" s="6" t="s">
        <v>16</v>
      </c>
      <c r="B23" s="13">
        <v>13</v>
      </c>
      <c r="C23" s="6" t="s">
        <v>135</v>
      </c>
      <c r="D23" s="13" t="s">
        <v>284</v>
      </c>
    </row>
    <row r="24" spans="1:8">
      <c r="A24" s="6" t="s">
        <v>16</v>
      </c>
      <c r="B24" s="13">
        <v>14</v>
      </c>
      <c r="C24" s="6" t="s">
        <v>138</v>
      </c>
      <c r="D24" s="13" t="s">
        <v>285</v>
      </c>
    </row>
    <row r="25" spans="1:8">
      <c r="A25" s="6" t="s">
        <v>16</v>
      </c>
      <c r="B25" s="13">
        <v>15</v>
      </c>
      <c r="C25" s="6" t="s">
        <v>139</v>
      </c>
      <c r="D25" s="13" t="s">
        <v>286</v>
      </c>
    </row>
    <row r="26" spans="1:8">
      <c r="A26" s="6" t="s">
        <v>16</v>
      </c>
      <c r="B26" s="13">
        <v>16</v>
      </c>
      <c r="C26" s="6" t="s">
        <v>146</v>
      </c>
      <c r="D26" s="13" t="s">
        <v>524</v>
      </c>
      <c r="F26" s="6" t="s">
        <v>258</v>
      </c>
    </row>
    <row r="27" spans="1:8">
      <c r="A27" s="6" t="s">
        <v>16</v>
      </c>
      <c r="B27" s="13">
        <v>17</v>
      </c>
      <c r="C27" s="6" t="s">
        <v>156</v>
      </c>
      <c r="H27" s="6" t="s">
        <v>256</v>
      </c>
    </row>
    <row r="28" spans="1:8">
      <c r="A28" s="6" t="s">
        <v>16</v>
      </c>
      <c r="B28" s="13">
        <v>18</v>
      </c>
      <c r="C28" s="6" t="s">
        <v>157</v>
      </c>
    </row>
    <row r="29" spans="1:8">
      <c r="A29" s="6" t="s">
        <v>16</v>
      </c>
      <c r="B29" s="13">
        <v>19</v>
      </c>
      <c r="C29" s="6" t="s">
        <v>158</v>
      </c>
      <c r="D29" s="12"/>
      <c r="E29" s="12"/>
      <c r="F29" s="12"/>
      <c r="G29" s="12"/>
      <c r="H29" s="12"/>
    </row>
    <row r="30" spans="1:8">
      <c r="A30" s="6" t="s">
        <v>16</v>
      </c>
      <c r="B30" s="13">
        <v>20</v>
      </c>
      <c r="C30" s="6" t="s">
        <v>159</v>
      </c>
      <c r="D30" s="12"/>
      <c r="E30" s="12"/>
      <c r="F30" s="12"/>
      <c r="G30" s="12"/>
      <c r="H30" s="1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0"/>
  <sheetViews>
    <sheetView workbookViewId="0">
      <selection activeCell="B17" sqref="B17"/>
    </sheetView>
  </sheetViews>
  <sheetFormatPr defaultColWidth="19.140625" defaultRowHeight="12.75"/>
  <cols>
    <col min="1" max="1" width="9.140625" style="5" customWidth="1"/>
    <col min="2" max="9" width="19.140625" style="5"/>
    <col min="10" max="10" width="3" style="5" customWidth="1"/>
    <col min="11" max="11" width="22.42578125" style="5" bestFit="1" customWidth="1"/>
    <col min="12" max="16384" width="19.140625" style="5"/>
  </cols>
  <sheetData>
    <row r="1" spans="1:12" s="20" customFormat="1">
      <c r="A1" s="20">
        <v>1</v>
      </c>
      <c r="B1" s="20">
        <v>2</v>
      </c>
      <c r="C1" s="20">
        <v>3</v>
      </c>
      <c r="D1" s="20">
        <v>4</v>
      </c>
      <c r="E1" s="20">
        <v>5</v>
      </c>
      <c r="F1" s="20">
        <v>6</v>
      </c>
      <c r="G1" s="20">
        <v>7</v>
      </c>
      <c r="H1" s="20">
        <v>8</v>
      </c>
      <c r="I1" s="20">
        <v>9</v>
      </c>
    </row>
    <row r="2" spans="1:12" s="20" customFormat="1">
      <c r="A2" s="20" t="s">
        <v>1</v>
      </c>
      <c r="B2" s="20" t="s">
        <v>480</v>
      </c>
      <c r="C2" s="21" t="s">
        <v>118</v>
      </c>
      <c r="D2" s="20" t="s">
        <v>151</v>
      </c>
      <c r="E2" s="20" t="s">
        <v>27</v>
      </c>
      <c r="F2" s="20" t="s">
        <v>152</v>
      </c>
      <c r="G2" s="20" t="s">
        <v>148</v>
      </c>
      <c r="H2" s="20" t="s">
        <v>149</v>
      </c>
      <c r="I2" s="20" t="s">
        <v>147</v>
      </c>
    </row>
    <row r="3" spans="1:12">
      <c r="A3" s="5">
        <v>50</v>
      </c>
      <c r="B3" s="5">
        <v>233</v>
      </c>
      <c r="C3" s="21">
        <v>100</v>
      </c>
      <c r="D3" s="22">
        <v>5.0000000000000001E-4</v>
      </c>
      <c r="E3" s="5">
        <v>1.1599999999999999</v>
      </c>
      <c r="F3" s="5">
        <v>10</v>
      </c>
      <c r="G3" s="5">
        <v>-999</v>
      </c>
      <c r="H3" s="5">
        <v>-999</v>
      </c>
      <c r="I3" s="5">
        <v>-999</v>
      </c>
      <c r="J3" s="5" t="s">
        <v>16</v>
      </c>
    </row>
    <row r="4" spans="1:12">
      <c r="A4" s="5">
        <v>60</v>
      </c>
      <c r="B4" s="5">
        <v>116</v>
      </c>
      <c r="C4" s="21">
        <v>50</v>
      </c>
      <c r="D4" s="22">
        <v>5.0000000000000001E-4</v>
      </c>
      <c r="E4" s="5">
        <v>1.1599999999999999</v>
      </c>
      <c r="F4" s="5">
        <v>10</v>
      </c>
      <c r="G4" s="5">
        <v>-999</v>
      </c>
      <c r="H4" s="5">
        <v>-999</v>
      </c>
      <c r="I4" s="5">
        <v>-999</v>
      </c>
      <c r="J4" s="5" t="s">
        <v>16</v>
      </c>
    </row>
    <row r="5" spans="1:12">
      <c r="A5" s="5">
        <v>70</v>
      </c>
      <c r="B5" s="5">
        <v>349</v>
      </c>
      <c r="C5" s="21">
        <v>150</v>
      </c>
      <c r="D5" s="22">
        <v>5.0000000000000001E-4</v>
      </c>
      <c r="E5" s="5">
        <v>1.1599999999999999</v>
      </c>
      <c r="F5" s="5">
        <v>10</v>
      </c>
      <c r="G5" s="5">
        <v>-999</v>
      </c>
      <c r="H5" s="5">
        <v>-999</v>
      </c>
      <c r="I5" s="5">
        <v>-999</v>
      </c>
    </row>
    <row r="6" spans="1:12">
      <c r="A6" s="5">
        <v>51</v>
      </c>
      <c r="B6" s="5">
        <v>333</v>
      </c>
      <c r="C6" s="21">
        <v>150</v>
      </c>
      <c r="D6" s="22">
        <v>0.05</v>
      </c>
      <c r="E6" s="5">
        <v>-999</v>
      </c>
      <c r="F6" s="5">
        <v>25</v>
      </c>
      <c r="G6" s="5">
        <v>-999</v>
      </c>
      <c r="H6" s="5">
        <v>-999</v>
      </c>
      <c r="I6" s="5">
        <v>-999</v>
      </c>
      <c r="J6" s="5" t="s">
        <v>16</v>
      </c>
      <c r="K6" s="5" t="s">
        <v>68</v>
      </c>
    </row>
    <row r="7" spans="1:12">
      <c r="A7" s="5">
        <v>52</v>
      </c>
      <c r="B7" s="5">
        <v>300</v>
      </c>
      <c r="C7" s="21">
        <v>150</v>
      </c>
      <c r="D7" s="22">
        <v>0.01</v>
      </c>
      <c r="E7" s="5">
        <v>-999</v>
      </c>
      <c r="F7" s="5">
        <v>15</v>
      </c>
      <c r="G7" s="5">
        <v>-999</v>
      </c>
      <c r="H7" s="5">
        <v>-999</v>
      </c>
      <c r="I7" s="5">
        <v>-999</v>
      </c>
      <c r="J7" s="5" t="s">
        <v>16</v>
      </c>
      <c r="K7" s="5" t="s">
        <v>69</v>
      </c>
    </row>
    <row r="8" spans="1:12">
      <c r="A8" s="5">
        <v>53</v>
      </c>
      <c r="B8" s="5">
        <v>300</v>
      </c>
      <c r="C8" s="21">
        <v>150</v>
      </c>
      <c r="D8" s="22">
        <v>1E-3</v>
      </c>
      <c r="E8" s="5">
        <v>-999</v>
      </c>
      <c r="F8" s="5">
        <v>7.5</v>
      </c>
      <c r="G8" s="5">
        <v>-999</v>
      </c>
      <c r="H8" s="5">
        <v>-999</v>
      </c>
      <c r="I8" s="5">
        <v>-999</v>
      </c>
      <c r="J8" s="5" t="s">
        <v>16</v>
      </c>
      <c r="K8" s="5" t="s">
        <v>70</v>
      </c>
    </row>
    <row r="9" spans="1:12">
      <c r="A9" s="5">
        <v>54</v>
      </c>
      <c r="B9" s="5">
        <v>250</v>
      </c>
      <c r="C9" s="21">
        <v>150</v>
      </c>
      <c r="D9" s="22">
        <v>5.0000000000000002E-5</v>
      </c>
      <c r="E9" s="5">
        <v>-999</v>
      </c>
      <c r="F9" s="5">
        <v>2.5</v>
      </c>
      <c r="G9" s="5">
        <v>-999</v>
      </c>
      <c r="H9" s="5">
        <v>-999</v>
      </c>
      <c r="I9" s="5">
        <v>-999</v>
      </c>
      <c r="J9" s="5" t="s">
        <v>16</v>
      </c>
      <c r="K9" s="5" t="s">
        <v>71</v>
      </c>
    </row>
    <row r="10" spans="1:12">
      <c r="A10" s="5">
        <v>55</v>
      </c>
      <c r="B10" s="5">
        <v>-999</v>
      </c>
      <c r="C10" s="21">
        <v>-999</v>
      </c>
      <c r="D10" s="5">
        <v>-999</v>
      </c>
      <c r="E10" s="5">
        <v>-999</v>
      </c>
      <c r="F10" s="5">
        <v>0.5</v>
      </c>
      <c r="G10" s="5">
        <v>-999</v>
      </c>
      <c r="H10" s="5">
        <v>-999</v>
      </c>
      <c r="I10" s="5">
        <v>-999</v>
      </c>
      <c r="J10" s="5" t="s">
        <v>16</v>
      </c>
      <c r="K10" s="5" t="s">
        <v>72</v>
      </c>
    </row>
    <row r="11" spans="1:12">
      <c r="A11" s="5">
        <v>56</v>
      </c>
      <c r="B11" s="5">
        <v>-999</v>
      </c>
      <c r="C11" s="21">
        <v>-999</v>
      </c>
      <c r="D11" s="23">
        <v>-999</v>
      </c>
      <c r="E11" s="5">
        <v>-999</v>
      </c>
      <c r="F11" s="5">
        <v>-999</v>
      </c>
      <c r="G11" s="5">
        <v>150</v>
      </c>
      <c r="H11" s="5">
        <v>0.42499999999999999</v>
      </c>
      <c r="I11" s="5">
        <v>0.85</v>
      </c>
      <c r="J11" s="5" t="s">
        <v>16</v>
      </c>
      <c r="K11" s="5" t="s">
        <v>287</v>
      </c>
    </row>
    <row r="12" spans="1:12" s="73" customFormat="1">
      <c r="A12" s="73">
        <v>551</v>
      </c>
      <c r="B12" s="73">
        <v>350</v>
      </c>
      <c r="C12" s="7">
        <v>150</v>
      </c>
      <c r="D12" s="74">
        <v>5.0000000000000001E-4</v>
      </c>
      <c r="E12" s="73">
        <v>-999</v>
      </c>
      <c r="F12" s="73">
        <v>-999</v>
      </c>
      <c r="G12" s="73">
        <v>-999</v>
      </c>
      <c r="H12" s="73">
        <v>-999</v>
      </c>
      <c r="I12" s="73">
        <v>-999</v>
      </c>
      <c r="J12" s="73" t="s">
        <v>16</v>
      </c>
      <c r="K12" s="73" t="s">
        <v>538</v>
      </c>
      <c r="L12" s="73" t="s">
        <v>366</v>
      </c>
    </row>
    <row r="13" spans="1:12" s="73" customFormat="1">
      <c r="A13" s="73">
        <v>552</v>
      </c>
      <c r="B13" s="73">
        <v>350</v>
      </c>
      <c r="C13" s="7">
        <v>150</v>
      </c>
      <c r="D13" s="74">
        <v>5.0000000000000001E-4</v>
      </c>
      <c r="E13" s="73">
        <v>-999</v>
      </c>
      <c r="F13" s="73">
        <v>-999</v>
      </c>
      <c r="G13" s="73">
        <v>-999</v>
      </c>
      <c r="H13" s="73">
        <v>-999</v>
      </c>
      <c r="I13" s="73">
        <v>-999</v>
      </c>
      <c r="J13" s="73" t="s">
        <v>16</v>
      </c>
      <c r="K13" s="73" t="s">
        <v>539</v>
      </c>
      <c r="L13" s="73" t="s">
        <v>366</v>
      </c>
    </row>
    <row r="14" spans="1:12" s="73" customFormat="1">
      <c r="A14" s="73">
        <v>553</v>
      </c>
      <c r="B14" s="73">
        <v>350</v>
      </c>
      <c r="C14" s="7">
        <v>150</v>
      </c>
      <c r="D14" s="74">
        <v>5.0000000000000001E-4</v>
      </c>
      <c r="E14" s="73">
        <v>-999</v>
      </c>
      <c r="F14" s="73">
        <v>-999</v>
      </c>
      <c r="G14" s="73">
        <v>-999</v>
      </c>
      <c r="H14" s="73">
        <v>-999</v>
      </c>
      <c r="I14" s="73">
        <v>-999</v>
      </c>
      <c r="J14" s="73" t="s">
        <v>16</v>
      </c>
      <c r="K14" s="73" t="s">
        <v>540</v>
      </c>
      <c r="L14" s="73" t="s">
        <v>366</v>
      </c>
    </row>
    <row r="15" spans="1:12" s="24" customFormat="1">
      <c r="A15" s="24">
        <v>661</v>
      </c>
      <c r="B15" s="24">
        <v>350</v>
      </c>
      <c r="C15" s="9">
        <v>150</v>
      </c>
      <c r="D15" s="25">
        <v>5.0000000000000001E-4</v>
      </c>
      <c r="E15" s="24">
        <v>-999</v>
      </c>
      <c r="F15" s="24">
        <v>-999</v>
      </c>
      <c r="G15" s="24">
        <v>-999</v>
      </c>
      <c r="H15" s="24">
        <v>-999</v>
      </c>
      <c r="I15" s="24">
        <v>-999</v>
      </c>
      <c r="J15" s="24" t="s">
        <v>16</v>
      </c>
      <c r="K15" s="24" t="s">
        <v>518</v>
      </c>
    </row>
    <row r="16" spans="1:12" s="71" customFormat="1">
      <c r="A16" s="71">
        <v>33661</v>
      </c>
      <c r="B16" s="71">
        <v>350</v>
      </c>
      <c r="C16" s="68">
        <v>150</v>
      </c>
      <c r="D16" s="72">
        <v>5.0000000000000001E-4</v>
      </c>
      <c r="E16" s="71">
        <v>-999</v>
      </c>
      <c r="F16" s="71">
        <v>-999</v>
      </c>
      <c r="G16" s="71">
        <v>-999</v>
      </c>
      <c r="H16" s="71">
        <v>-999</v>
      </c>
      <c r="I16" s="71">
        <v>-999</v>
      </c>
      <c r="J16" s="71" t="s">
        <v>16</v>
      </c>
      <c r="K16" s="71" t="s">
        <v>537</v>
      </c>
    </row>
    <row r="17" spans="1:10">
      <c r="A17" s="5">
        <v>-9</v>
      </c>
      <c r="H17" s="22"/>
    </row>
    <row r="18" spans="1:10">
      <c r="A18" s="5">
        <v>-9</v>
      </c>
    </row>
    <row r="21" spans="1:10">
      <c r="A21" s="5" t="s">
        <v>16</v>
      </c>
      <c r="B21" s="5">
        <v>1</v>
      </c>
      <c r="D21" s="5" t="s">
        <v>1</v>
      </c>
      <c r="E21" s="5" t="s">
        <v>297</v>
      </c>
      <c r="J21" s="5" t="s">
        <v>484</v>
      </c>
    </row>
    <row r="22" spans="1:10" ht="15.75" customHeight="1">
      <c r="A22" s="5" t="s">
        <v>16</v>
      </c>
      <c r="B22" s="5">
        <v>2</v>
      </c>
      <c r="D22" s="5" t="s">
        <v>480</v>
      </c>
      <c r="E22" s="5" t="s">
        <v>481</v>
      </c>
      <c r="H22" s="5" t="s">
        <v>213</v>
      </c>
    </row>
    <row r="23" spans="1:10" ht="15.75" customHeight="1">
      <c r="A23" s="5" t="s">
        <v>16</v>
      </c>
      <c r="B23" s="5">
        <v>3</v>
      </c>
      <c r="D23" s="5" t="s">
        <v>118</v>
      </c>
      <c r="E23" s="5" t="s">
        <v>482</v>
      </c>
      <c r="H23" s="5" t="s">
        <v>213</v>
      </c>
    </row>
    <row r="24" spans="1:10">
      <c r="A24" s="5" t="s">
        <v>16</v>
      </c>
      <c r="B24" s="5">
        <v>4</v>
      </c>
      <c r="D24" s="5" t="s">
        <v>151</v>
      </c>
      <c r="E24" s="5" t="s">
        <v>289</v>
      </c>
      <c r="H24" s="5" t="s">
        <v>265</v>
      </c>
    </row>
    <row r="25" spans="1:10">
      <c r="A25" s="5" t="s">
        <v>16</v>
      </c>
      <c r="B25" s="5">
        <v>5</v>
      </c>
      <c r="D25" s="5" t="s">
        <v>27</v>
      </c>
      <c r="E25" s="5" t="s">
        <v>290</v>
      </c>
      <c r="H25" s="5" t="s">
        <v>283</v>
      </c>
    </row>
    <row r="26" spans="1:10">
      <c r="A26" s="5" t="s">
        <v>16</v>
      </c>
      <c r="B26" s="5">
        <v>6</v>
      </c>
      <c r="D26" s="5" t="s">
        <v>152</v>
      </c>
      <c r="E26" s="5" t="s">
        <v>288</v>
      </c>
      <c r="H26" s="5" t="s">
        <v>212</v>
      </c>
    </row>
    <row r="27" spans="1:10">
      <c r="A27" s="5" t="s">
        <v>16</v>
      </c>
      <c r="B27" s="5">
        <v>7</v>
      </c>
      <c r="D27" s="5" t="s">
        <v>148</v>
      </c>
      <c r="E27" s="5" t="s">
        <v>291</v>
      </c>
      <c r="H27" s="5" t="s">
        <v>213</v>
      </c>
      <c r="J27" s="5" t="s">
        <v>292</v>
      </c>
    </row>
    <row r="28" spans="1:10">
      <c r="A28" s="5" t="s">
        <v>16</v>
      </c>
      <c r="B28" s="5">
        <v>8</v>
      </c>
      <c r="D28" s="5" t="s">
        <v>293</v>
      </c>
      <c r="E28" s="5" t="s">
        <v>294</v>
      </c>
      <c r="H28" s="5" t="s">
        <v>295</v>
      </c>
      <c r="J28" s="5" t="s">
        <v>292</v>
      </c>
    </row>
    <row r="29" spans="1:10">
      <c r="A29" s="5" t="s">
        <v>16</v>
      </c>
      <c r="B29" s="5">
        <v>9</v>
      </c>
      <c r="D29" s="5" t="s">
        <v>147</v>
      </c>
      <c r="E29" s="5" t="s">
        <v>296</v>
      </c>
      <c r="J29" s="5" t="s">
        <v>292</v>
      </c>
    </row>
    <row r="34" spans="2:3">
      <c r="B34" s="26"/>
      <c r="C34" s="26"/>
    </row>
    <row r="35" spans="2:3">
      <c r="B35" s="27"/>
      <c r="C35" s="27"/>
    </row>
    <row r="36" spans="2:3">
      <c r="B36" s="27"/>
      <c r="C36" s="27"/>
    </row>
    <row r="37" spans="2:3">
      <c r="B37" s="27"/>
      <c r="C37" s="27"/>
    </row>
    <row r="38" spans="2:3">
      <c r="B38" s="27"/>
      <c r="C38" s="27"/>
    </row>
    <row r="39" spans="2:3">
      <c r="B39" s="27"/>
      <c r="C39" s="27"/>
    </row>
    <row r="40" spans="2:3">
      <c r="B40" s="28"/>
      <c r="C40" s="28"/>
    </row>
    <row r="41" spans="2:3">
      <c r="B41" s="26"/>
      <c r="C41" s="26"/>
    </row>
    <row r="42" spans="2:3">
      <c r="B42" s="27"/>
      <c r="C42" s="27"/>
    </row>
    <row r="43" spans="2:3">
      <c r="B43" s="27"/>
      <c r="C43" s="27"/>
    </row>
    <row r="44" spans="2:3">
      <c r="B44" s="27"/>
      <c r="C44" s="27"/>
    </row>
    <row r="45" spans="2:3">
      <c r="B45" s="27"/>
      <c r="C45" s="27"/>
    </row>
    <row r="46" spans="2:3">
      <c r="B46" s="27"/>
      <c r="C46" s="27"/>
    </row>
    <row r="47" spans="2:3">
      <c r="B47" s="28"/>
      <c r="C47" s="28"/>
    </row>
    <row r="48" spans="2:3">
      <c r="B48" s="26"/>
      <c r="C48" s="26"/>
    </row>
    <row r="49" spans="2:3">
      <c r="B49" s="27"/>
      <c r="C49" s="27"/>
    </row>
    <row r="50" spans="2:3">
      <c r="B50" s="27"/>
      <c r="C50" s="27"/>
    </row>
    <row r="51" spans="2:3">
      <c r="B51" s="27"/>
      <c r="C51" s="27"/>
    </row>
    <row r="52" spans="2:3">
      <c r="B52" s="27"/>
      <c r="C52" s="27"/>
    </row>
    <row r="53" spans="2:3">
      <c r="B53" s="27"/>
      <c r="C53" s="27"/>
    </row>
    <row r="54" spans="2:3">
      <c r="B54" s="28"/>
      <c r="C54" s="28"/>
    </row>
    <row r="55" spans="2:3">
      <c r="B55" s="26"/>
      <c r="C55" s="26"/>
    </row>
    <row r="56" spans="2:3" ht="14.25">
      <c r="B56" s="29"/>
      <c r="C56" s="29"/>
    </row>
    <row r="57" spans="2:3" ht="14.25">
      <c r="B57" s="29"/>
      <c r="C57" s="29"/>
    </row>
    <row r="58" spans="2:3" ht="14.25">
      <c r="B58" s="29"/>
      <c r="C58" s="29"/>
    </row>
    <row r="59" spans="2:3" ht="14.25">
      <c r="B59" s="29"/>
      <c r="C59" s="29"/>
    </row>
    <row r="60" spans="2:3">
      <c r="B60" s="30"/>
      <c r="C60" s="30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1"/>
  <sheetViews>
    <sheetView workbookViewId="0">
      <selection activeCell="H26" sqref="H26"/>
    </sheetView>
  </sheetViews>
  <sheetFormatPr defaultRowHeight="12.75"/>
  <cols>
    <col min="1" max="12" width="9.140625" style="6"/>
    <col min="13" max="13" width="7" style="6" customWidth="1"/>
    <col min="14" max="16384" width="9.140625" style="6"/>
  </cols>
  <sheetData>
    <row r="1" spans="1: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</row>
    <row r="2" spans="1:15">
      <c r="A2" s="6" t="s">
        <v>1</v>
      </c>
      <c r="B2" s="6" t="s">
        <v>29</v>
      </c>
      <c r="C2" s="6" t="s">
        <v>30</v>
      </c>
      <c r="D2" s="6" t="s">
        <v>31</v>
      </c>
      <c r="E2" s="6" t="s">
        <v>32</v>
      </c>
      <c r="F2" s="6" t="s">
        <v>33</v>
      </c>
      <c r="G2" s="6" t="s">
        <v>34</v>
      </c>
      <c r="H2" s="6" t="s">
        <v>153</v>
      </c>
      <c r="I2" s="6" t="s">
        <v>154</v>
      </c>
      <c r="J2" s="6" t="s">
        <v>14</v>
      </c>
      <c r="K2" s="6" t="s">
        <v>15</v>
      </c>
      <c r="L2" s="6" t="s">
        <v>155</v>
      </c>
    </row>
    <row r="3" spans="1:15" s="21" customFormat="1">
      <c r="A3" s="21">
        <v>100</v>
      </c>
      <c r="B3" s="21">
        <v>16.476400000000002</v>
      </c>
      <c r="C3" s="21">
        <v>566.09230000000002</v>
      </c>
      <c r="D3" s="21">
        <v>0.21629999999999999</v>
      </c>
      <c r="E3" s="21">
        <v>3.3649</v>
      </c>
      <c r="F3" s="21">
        <v>11.0764</v>
      </c>
      <c r="G3" s="21">
        <v>1.7600000000000001E-2</v>
      </c>
      <c r="H3" s="21">
        <v>40</v>
      </c>
      <c r="I3" s="21">
        <v>0</v>
      </c>
      <c r="J3" s="21">
        <v>0.45</v>
      </c>
      <c r="K3" s="21">
        <v>15</v>
      </c>
      <c r="L3" s="21">
        <v>1200</v>
      </c>
      <c r="M3" s="21" t="s">
        <v>16</v>
      </c>
      <c r="N3" s="21" t="s">
        <v>520</v>
      </c>
      <c r="O3" s="21" t="s">
        <v>35</v>
      </c>
    </row>
    <row r="4" spans="1:15" s="21" customFormat="1">
      <c r="A4" s="21">
        <v>101</v>
      </c>
      <c r="B4" s="21">
        <v>23.53</v>
      </c>
      <c r="C4" s="21">
        <v>104.4</v>
      </c>
      <c r="D4" s="21">
        <v>8.1199999999999994E-2</v>
      </c>
      <c r="E4" s="21">
        <v>9.44</v>
      </c>
      <c r="F4" s="21">
        <v>18.350000000000001</v>
      </c>
      <c r="G4" s="21">
        <v>8.1000000000000003E-2</v>
      </c>
      <c r="H4" s="21">
        <v>40</v>
      </c>
      <c r="I4" s="21">
        <v>0</v>
      </c>
      <c r="J4" s="21">
        <v>1.08</v>
      </c>
      <c r="K4" s="21">
        <v>69.7</v>
      </c>
      <c r="L4" s="21">
        <v>1000</v>
      </c>
      <c r="M4" s="21" t="s">
        <v>16</v>
      </c>
      <c r="N4" s="21" t="s">
        <v>526</v>
      </c>
      <c r="O4" s="21" t="s">
        <v>527</v>
      </c>
    </row>
    <row r="5" spans="1:15" s="68" customFormat="1">
      <c r="A5" s="68">
        <v>200</v>
      </c>
      <c r="B5" s="68">
        <v>3.5</v>
      </c>
      <c r="C5" s="68">
        <v>200</v>
      </c>
      <c r="D5" s="68">
        <v>0.13</v>
      </c>
      <c r="E5" s="68">
        <v>0.7</v>
      </c>
      <c r="F5" s="68">
        <v>30</v>
      </c>
      <c r="G5" s="68">
        <v>0.05</v>
      </c>
      <c r="H5" s="68">
        <v>55</v>
      </c>
      <c r="I5" s="68">
        <v>-10</v>
      </c>
      <c r="J5" s="68">
        <v>5.56</v>
      </c>
      <c r="K5" s="68">
        <v>0</v>
      </c>
      <c r="L5" s="68">
        <v>1200</v>
      </c>
      <c r="M5" s="68" t="s">
        <v>16</v>
      </c>
      <c r="N5" s="68" t="s">
        <v>530</v>
      </c>
    </row>
    <row r="6" spans="1:15">
      <c r="A6" s="6">
        <v>-9</v>
      </c>
    </row>
    <row r="7" spans="1:15">
      <c r="A7" s="6">
        <v>-9</v>
      </c>
    </row>
    <row r="9" spans="1:15">
      <c r="A9" s="6" t="s">
        <v>16</v>
      </c>
      <c r="C9" s="6" t="s">
        <v>356</v>
      </c>
    </row>
    <row r="10" spans="1:15">
      <c r="A10" s="6" t="s">
        <v>16</v>
      </c>
      <c r="B10" s="6">
        <v>1</v>
      </c>
      <c r="C10" s="6" t="s">
        <v>1</v>
      </c>
      <c r="D10" s="6" t="s">
        <v>225</v>
      </c>
      <c r="I10" s="6" t="s">
        <v>488</v>
      </c>
    </row>
    <row r="11" spans="1:15">
      <c r="A11" s="6" t="s">
        <v>16</v>
      </c>
      <c r="B11" s="6">
        <v>2</v>
      </c>
      <c r="C11" s="6" t="s">
        <v>29</v>
      </c>
      <c r="D11" s="6" t="s">
        <v>364</v>
      </c>
      <c r="G11" s="6" t="s">
        <v>265</v>
      </c>
    </row>
    <row r="12" spans="1:15">
      <c r="A12" s="6" t="s">
        <v>16</v>
      </c>
      <c r="B12" s="6">
        <v>3</v>
      </c>
      <c r="C12" s="6" t="s">
        <v>30</v>
      </c>
      <c r="D12" s="6" t="s">
        <v>358</v>
      </c>
      <c r="G12" s="6" t="s">
        <v>343</v>
      </c>
    </row>
    <row r="13" spans="1:15">
      <c r="A13" s="6" t="s">
        <v>16</v>
      </c>
      <c r="B13" s="6">
        <v>4</v>
      </c>
      <c r="C13" s="6" t="s">
        <v>31</v>
      </c>
      <c r="D13" s="6" t="s">
        <v>359</v>
      </c>
      <c r="G13" s="6" t="s">
        <v>360</v>
      </c>
    </row>
    <row r="14" spans="1:15">
      <c r="A14" s="6" t="s">
        <v>16</v>
      </c>
      <c r="B14" s="6">
        <v>5</v>
      </c>
      <c r="C14" s="6" t="s">
        <v>32</v>
      </c>
      <c r="D14" s="6" t="s">
        <v>359</v>
      </c>
      <c r="G14" s="6" t="s">
        <v>361</v>
      </c>
    </row>
    <row r="15" spans="1:15">
      <c r="A15" s="6" t="s">
        <v>16</v>
      </c>
      <c r="B15" s="6">
        <v>6</v>
      </c>
      <c r="C15" s="6" t="s">
        <v>33</v>
      </c>
      <c r="D15" s="6" t="s">
        <v>362</v>
      </c>
      <c r="G15" s="6" t="s">
        <v>258</v>
      </c>
    </row>
    <row r="16" spans="1:15">
      <c r="A16" s="6" t="s">
        <v>16</v>
      </c>
      <c r="B16" s="6">
        <v>7</v>
      </c>
      <c r="C16" s="6" t="s">
        <v>34</v>
      </c>
      <c r="D16" s="6" t="s">
        <v>357</v>
      </c>
      <c r="G16" s="6" t="s">
        <v>363</v>
      </c>
    </row>
    <row r="17" spans="1:7">
      <c r="A17" s="6" t="s">
        <v>16</v>
      </c>
      <c r="B17" s="6">
        <v>8</v>
      </c>
      <c r="C17" s="6" t="s">
        <v>153</v>
      </c>
      <c r="D17" s="6" t="s">
        <v>457</v>
      </c>
      <c r="G17" s="6" t="s">
        <v>258</v>
      </c>
    </row>
    <row r="18" spans="1:7">
      <c r="A18" s="6" t="s">
        <v>16</v>
      </c>
      <c r="B18" s="6">
        <v>9</v>
      </c>
      <c r="C18" s="6" t="s">
        <v>154</v>
      </c>
      <c r="D18" s="6" t="s">
        <v>458</v>
      </c>
      <c r="G18" s="6" t="s">
        <v>258</v>
      </c>
    </row>
    <row r="19" spans="1:7">
      <c r="A19" s="6" t="s">
        <v>16</v>
      </c>
      <c r="B19" s="6">
        <v>10</v>
      </c>
      <c r="C19" s="6" t="s">
        <v>14</v>
      </c>
      <c r="D19" s="6" t="s">
        <v>357</v>
      </c>
      <c r="G19" s="6" t="s">
        <v>354</v>
      </c>
    </row>
    <row r="20" spans="1:7">
      <c r="A20" s="6" t="s">
        <v>16</v>
      </c>
      <c r="B20" s="6">
        <v>11</v>
      </c>
      <c r="C20" s="6" t="s">
        <v>15</v>
      </c>
      <c r="D20" s="6" t="s">
        <v>357</v>
      </c>
      <c r="G20" s="6" t="s">
        <v>213</v>
      </c>
    </row>
    <row r="21" spans="1:7">
      <c r="A21" s="6" t="s">
        <v>16</v>
      </c>
      <c r="B21" s="6">
        <v>12</v>
      </c>
      <c r="C21" s="6" t="s">
        <v>155</v>
      </c>
      <c r="D21" s="6" t="s">
        <v>355</v>
      </c>
      <c r="G21" s="6" t="s">
        <v>343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32"/>
  <sheetViews>
    <sheetView workbookViewId="0">
      <selection activeCell="B9" sqref="B9"/>
    </sheetView>
  </sheetViews>
  <sheetFormatPr defaultColWidth="13.140625" defaultRowHeight="12.75"/>
  <cols>
    <col min="1" max="1" width="9.140625" style="31" customWidth="1"/>
    <col min="2" max="11" width="13.140625" style="31"/>
    <col min="12" max="12" width="2.28515625" style="31" customWidth="1"/>
    <col min="13" max="16384" width="13.140625" style="31"/>
  </cols>
  <sheetData>
    <row r="1" spans="1:14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</row>
    <row r="2" spans="1:14">
      <c r="A2" s="31" t="s">
        <v>1</v>
      </c>
      <c r="B2" s="31" t="s">
        <v>42</v>
      </c>
      <c r="C2" s="31" t="s">
        <v>163</v>
      </c>
      <c r="D2" s="31" t="s">
        <v>164</v>
      </c>
      <c r="E2" s="31" t="s">
        <v>165</v>
      </c>
      <c r="F2" s="31" t="s">
        <v>166</v>
      </c>
      <c r="G2" s="31" t="s">
        <v>167</v>
      </c>
      <c r="H2" s="31" t="s">
        <v>168</v>
      </c>
      <c r="I2" s="31" t="s">
        <v>160</v>
      </c>
      <c r="J2" s="31" t="s">
        <v>161</v>
      </c>
      <c r="K2" s="31" t="s">
        <v>162</v>
      </c>
    </row>
    <row r="3" spans="1:14">
      <c r="A3" s="31">
        <v>10</v>
      </c>
      <c r="B3" s="31">
        <v>18.2</v>
      </c>
      <c r="C3" s="31">
        <v>0.1</v>
      </c>
      <c r="D3" s="31">
        <v>9.8600000000000007E-3</v>
      </c>
      <c r="E3" s="31">
        <v>1.0200000000000001E-2</v>
      </c>
      <c r="F3" s="31">
        <v>0.1</v>
      </c>
      <c r="G3" s="31">
        <v>9.8600000000000007E-3</v>
      </c>
      <c r="H3" s="31">
        <v>1.0200000000000001E-2</v>
      </c>
      <c r="I3" s="31">
        <v>15</v>
      </c>
      <c r="J3" s="31">
        <v>2.7</v>
      </c>
      <c r="K3" s="31">
        <v>7</v>
      </c>
      <c r="L3" s="31" t="s">
        <v>16</v>
      </c>
      <c r="M3" s="31" t="s">
        <v>25</v>
      </c>
      <c r="N3" s="31" t="s">
        <v>86</v>
      </c>
    </row>
    <row r="4" spans="1:14">
      <c r="A4" s="31">
        <v>11</v>
      </c>
      <c r="B4" s="31">
        <v>18.2</v>
      </c>
      <c r="C4" s="31">
        <v>0.30809999999999998</v>
      </c>
      <c r="D4" s="32">
        <v>9.9000000000000008E-3</v>
      </c>
      <c r="E4" s="33">
        <v>1.0200000000000001E-2</v>
      </c>
      <c r="F4" s="32">
        <v>0.30809999999999998</v>
      </c>
      <c r="G4" s="32">
        <v>9.9000000000000008E-3</v>
      </c>
      <c r="H4" s="33">
        <v>1.0200000000000001E-2</v>
      </c>
      <c r="I4" s="32">
        <v>-999</v>
      </c>
      <c r="J4" s="32">
        <v>-999</v>
      </c>
      <c r="K4" s="32">
        <v>-999</v>
      </c>
      <c r="L4" s="31" t="s">
        <v>16</v>
      </c>
      <c r="M4" s="31" t="s">
        <v>87</v>
      </c>
    </row>
    <row r="5" spans="1:14" s="34" customFormat="1">
      <c r="A5" s="34">
        <v>551</v>
      </c>
      <c r="B5" s="34">
        <v>18.2</v>
      </c>
      <c r="C5" s="35">
        <v>0.30813570000000001</v>
      </c>
      <c r="D5" s="36">
        <v>9.8630999999999996E-3</v>
      </c>
      <c r="E5" s="37">
        <v>1.01826E-2</v>
      </c>
      <c r="F5" s="36">
        <v>0.30813570000000001</v>
      </c>
      <c r="G5" s="36">
        <v>9.8630999999999996E-3</v>
      </c>
      <c r="H5" s="37">
        <v>1.01826E-2</v>
      </c>
      <c r="I5" s="38">
        <v>-999</v>
      </c>
      <c r="J5" s="38">
        <v>-999</v>
      </c>
      <c r="K5" s="38">
        <v>-999</v>
      </c>
      <c r="L5" s="34" t="s">
        <v>16</v>
      </c>
      <c r="M5" s="34" t="s">
        <v>365</v>
      </c>
      <c r="N5" s="34" t="s">
        <v>366</v>
      </c>
    </row>
    <row r="6" spans="1:14" s="39" customFormat="1">
      <c r="A6" s="39">
        <v>661</v>
      </c>
      <c r="B6" s="39">
        <v>18.2</v>
      </c>
      <c r="C6" s="40">
        <v>0.30813570000000001</v>
      </c>
      <c r="D6" s="41">
        <v>9.8630999999999996E-3</v>
      </c>
      <c r="E6" s="42">
        <v>1.01826E-2</v>
      </c>
      <c r="F6" s="41">
        <v>0.30813570000000001</v>
      </c>
      <c r="G6" s="41">
        <v>9.8630999999999996E-3</v>
      </c>
      <c r="H6" s="42">
        <v>1.01826E-2</v>
      </c>
      <c r="I6" s="43">
        <v>-999</v>
      </c>
      <c r="J6" s="43">
        <v>-999</v>
      </c>
      <c r="K6" s="43">
        <v>-999</v>
      </c>
      <c r="L6" s="39" t="s">
        <v>16</v>
      </c>
      <c r="M6" s="39" t="s">
        <v>518</v>
      </c>
    </row>
    <row r="7" spans="1:14" s="77" customFormat="1">
      <c r="A7" s="77">
        <v>33661</v>
      </c>
      <c r="B7" s="77">
        <v>18.2</v>
      </c>
      <c r="C7" s="78">
        <v>0.30813570000000001</v>
      </c>
      <c r="D7" s="79">
        <v>9.8630999999999996E-3</v>
      </c>
      <c r="E7" s="80">
        <v>1.01826E-2</v>
      </c>
      <c r="F7" s="79">
        <v>0.30813570000000001</v>
      </c>
      <c r="G7" s="79">
        <v>9.8630999999999996E-3</v>
      </c>
      <c r="H7" s="80">
        <v>1.01826E-2</v>
      </c>
      <c r="I7" s="81">
        <v>-999</v>
      </c>
      <c r="J7" s="81">
        <v>-999</v>
      </c>
      <c r="K7" s="81">
        <v>-999</v>
      </c>
      <c r="L7" s="77" t="s">
        <v>16</v>
      </c>
      <c r="M7" s="77" t="s">
        <v>537</v>
      </c>
    </row>
    <row r="8" spans="1:14">
      <c r="A8" s="31">
        <v>-9</v>
      </c>
    </row>
    <row r="9" spans="1:14">
      <c r="A9" s="31">
        <v>-9</v>
      </c>
    </row>
    <row r="13" spans="1:14" s="44" customFormat="1">
      <c r="A13" s="44" t="s">
        <v>16</v>
      </c>
      <c r="B13" s="44">
        <v>1</v>
      </c>
      <c r="C13" s="44" t="s">
        <v>1</v>
      </c>
      <c r="D13" s="44" t="s">
        <v>332</v>
      </c>
    </row>
    <row r="14" spans="1:14" s="44" customFormat="1">
      <c r="A14" s="44" t="s">
        <v>16</v>
      </c>
      <c r="B14" s="44">
        <v>2</v>
      </c>
      <c r="C14" s="31" t="s">
        <v>42</v>
      </c>
      <c r="D14" s="45" t="s">
        <v>334</v>
      </c>
      <c r="G14" s="44" t="s">
        <v>258</v>
      </c>
      <c r="H14" s="45"/>
      <c r="I14" s="45"/>
    </row>
    <row r="15" spans="1:14" s="44" customFormat="1">
      <c r="A15" s="44" t="s">
        <v>16</v>
      </c>
      <c r="B15" s="44">
        <v>3</v>
      </c>
      <c r="C15" s="44" t="s">
        <v>163</v>
      </c>
      <c r="D15" s="44" t="s">
        <v>337</v>
      </c>
      <c r="G15" s="44" t="s">
        <v>335</v>
      </c>
      <c r="H15" s="45"/>
      <c r="I15" s="45" t="s">
        <v>348</v>
      </c>
    </row>
    <row r="16" spans="1:14" s="44" customFormat="1">
      <c r="A16" s="44" t="s">
        <v>16</v>
      </c>
      <c r="B16" s="44">
        <v>4</v>
      </c>
      <c r="C16" s="44" t="s">
        <v>164</v>
      </c>
      <c r="D16" s="44" t="s">
        <v>339</v>
      </c>
      <c r="G16" s="44" t="s">
        <v>336</v>
      </c>
      <c r="I16" s="45" t="s">
        <v>348</v>
      </c>
    </row>
    <row r="17" spans="1:9" s="44" customFormat="1">
      <c r="A17" s="44" t="s">
        <v>16</v>
      </c>
      <c r="B17" s="44">
        <v>5</v>
      </c>
      <c r="C17" s="44" t="s">
        <v>165</v>
      </c>
      <c r="D17" s="44" t="s">
        <v>340</v>
      </c>
      <c r="G17" s="44" t="s">
        <v>336</v>
      </c>
      <c r="H17" s="46"/>
      <c r="I17" s="45" t="s">
        <v>348</v>
      </c>
    </row>
    <row r="18" spans="1:9" s="44" customFormat="1">
      <c r="A18" s="44" t="s">
        <v>16</v>
      </c>
      <c r="B18" s="44">
        <v>6</v>
      </c>
      <c r="C18" s="44" t="s">
        <v>166</v>
      </c>
      <c r="D18" s="44" t="s">
        <v>338</v>
      </c>
      <c r="G18" s="44" t="s">
        <v>335</v>
      </c>
      <c r="I18" s="45" t="s">
        <v>348</v>
      </c>
    </row>
    <row r="19" spans="1:9" s="44" customFormat="1">
      <c r="A19" s="44" t="s">
        <v>16</v>
      </c>
      <c r="B19" s="44">
        <v>7</v>
      </c>
      <c r="C19" s="44" t="s">
        <v>167</v>
      </c>
      <c r="D19" s="44" t="s">
        <v>341</v>
      </c>
      <c r="G19" s="44" t="s">
        <v>336</v>
      </c>
      <c r="H19" s="46"/>
      <c r="I19" s="45" t="s">
        <v>348</v>
      </c>
    </row>
    <row r="20" spans="1:9" s="44" customFormat="1">
      <c r="A20" s="44" t="s">
        <v>16</v>
      </c>
      <c r="B20" s="44">
        <v>8</v>
      </c>
      <c r="C20" s="44" t="s">
        <v>168</v>
      </c>
      <c r="D20" s="44" t="s">
        <v>342</v>
      </c>
      <c r="G20" s="44" t="s">
        <v>336</v>
      </c>
      <c r="H20" s="45"/>
      <c r="I20" s="45" t="s">
        <v>348</v>
      </c>
    </row>
    <row r="21" spans="1:9" s="44" customFormat="1">
      <c r="A21" s="44" t="s">
        <v>16</v>
      </c>
      <c r="B21" s="44">
        <v>9</v>
      </c>
      <c r="C21" s="44" t="s">
        <v>160</v>
      </c>
      <c r="D21" s="46" t="s">
        <v>345</v>
      </c>
      <c r="G21" s="44" t="s">
        <v>343</v>
      </c>
      <c r="H21" s="45"/>
      <c r="I21" s="45" t="s">
        <v>349</v>
      </c>
    </row>
    <row r="22" spans="1:9" s="44" customFormat="1">
      <c r="A22" s="44" t="s">
        <v>16</v>
      </c>
      <c r="B22" s="44">
        <v>10</v>
      </c>
      <c r="C22" s="44" t="s">
        <v>161</v>
      </c>
      <c r="D22" s="46" t="s">
        <v>346</v>
      </c>
      <c r="G22" s="44" t="s">
        <v>344</v>
      </c>
      <c r="I22" s="45" t="s">
        <v>349</v>
      </c>
    </row>
    <row r="23" spans="1:9" s="44" customFormat="1">
      <c r="A23" s="44" t="s">
        <v>16</v>
      </c>
      <c r="B23" s="44">
        <v>11</v>
      </c>
      <c r="C23" s="44" t="s">
        <v>162</v>
      </c>
      <c r="D23" s="45" t="s">
        <v>347</v>
      </c>
      <c r="G23" s="44" t="s">
        <v>258</v>
      </c>
      <c r="H23" s="46"/>
      <c r="I23" s="45" t="s">
        <v>349</v>
      </c>
    </row>
    <row r="24" spans="1:9" s="44" customFormat="1">
      <c r="I24" s="45"/>
    </row>
    <row r="25" spans="1:9" s="44" customFormat="1">
      <c r="H25" s="46"/>
      <c r="I25" s="45"/>
    </row>
    <row r="26" spans="1:9" s="44" customFormat="1">
      <c r="H26" s="45"/>
      <c r="I26" s="47"/>
    </row>
    <row r="27" spans="1:9" s="44" customFormat="1">
      <c r="H27" s="45"/>
      <c r="I27" s="47"/>
    </row>
    <row r="28" spans="1:9" s="44" customFormat="1">
      <c r="H28" s="45"/>
      <c r="I28" s="47"/>
    </row>
    <row r="29" spans="1:9" s="44" customFormat="1"/>
    <row r="30" spans="1:9" s="44" customFormat="1"/>
    <row r="31" spans="1:9" s="44" customFormat="1"/>
    <row r="32" spans="1:9" s="44" customFormat="1"/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35"/>
  <sheetViews>
    <sheetView workbookViewId="0">
      <selection activeCell="B7" sqref="B7"/>
    </sheetView>
  </sheetViews>
  <sheetFormatPr defaultRowHeight="12.75"/>
  <cols>
    <col min="1" max="3" width="9.140625" style="12"/>
    <col min="4" max="4" width="15.140625" style="12" customWidth="1"/>
    <col min="5" max="11" width="6" style="12" customWidth="1"/>
    <col min="12" max="18" width="9.140625" style="12"/>
    <col min="19" max="25" width="11.85546875" style="12" customWidth="1"/>
    <col min="26" max="26" width="2.42578125" style="12" customWidth="1"/>
    <col min="27" max="16384" width="9.140625" style="12"/>
  </cols>
  <sheetData>
    <row r="1" spans="1:28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</row>
    <row r="2" spans="1:28">
      <c r="A2" s="12" t="s">
        <v>1</v>
      </c>
      <c r="B2" s="12" t="s">
        <v>48</v>
      </c>
      <c r="C2" s="12" t="s">
        <v>49</v>
      </c>
      <c r="D2" s="12" t="s">
        <v>50</v>
      </c>
      <c r="E2" s="12" t="s">
        <v>51</v>
      </c>
      <c r="F2" s="12" t="s">
        <v>169</v>
      </c>
      <c r="G2" s="12" t="s">
        <v>170</v>
      </c>
      <c r="H2" s="12" t="s">
        <v>171</v>
      </c>
      <c r="I2" s="12" t="s">
        <v>172</v>
      </c>
      <c r="J2" s="12" t="s">
        <v>173</v>
      </c>
      <c r="K2" s="12" t="s">
        <v>174</v>
      </c>
      <c r="L2" s="12" t="s">
        <v>52</v>
      </c>
      <c r="M2" s="12" t="s">
        <v>53</v>
      </c>
      <c r="N2" s="12" t="s">
        <v>54</v>
      </c>
      <c r="O2" s="12" t="s">
        <v>55</v>
      </c>
      <c r="P2" s="12" t="s">
        <v>56</v>
      </c>
      <c r="Q2" s="12" t="s">
        <v>57</v>
      </c>
      <c r="R2" s="12" t="s">
        <v>58</v>
      </c>
      <c r="S2" s="12" t="s">
        <v>59</v>
      </c>
      <c r="T2" s="12" t="s">
        <v>60</v>
      </c>
      <c r="U2" s="12" t="s">
        <v>61</v>
      </c>
      <c r="V2" s="12" t="s">
        <v>62</v>
      </c>
      <c r="W2" s="12" t="s">
        <v>63</v>
      </c>
      <c r="X2" s="12" t="s">
        <v>64</v>
      </c>
      <c r="Y2" s="12" t="s">
        <v>65</v>
      </c>
    </row>
    <row r="3" spans="1:28">
      <c r="A3" s="12">
        <v>1</v>
      </c>
      <c r="B3" s="12">
        <v>152</v>
      </c>
      <c r="C3" s="12">
        <v>243</v>
      </c>
      <c r="D3" s="12">
        <v>0</v>
      </c>
      <c r="E3" s="12">
        <v>0.2</v>
      </c>
      <c r="F3" s="12">
        <v>-84.534999999999997</v>
      </c>
      <c r="G3" s="12">
        <v>9.9589999999999996</v>
      </c>
      <c r="H3" s="12">
        <v>3.6739999999999999</v>
      </c>
      <c r="I3" s="12">
        <v>-25.36</v>
      </c>
      <c r="J3" s="12">
        <v>2.988</v>
      </c>
      <c r="K3" s="12">
        <v>1.1020000000000001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1</v>
      </c>
      <c r="T3" s="12">
        <v>1</v>
      </c>
      <c r="U3" s="12">
        <v>1</v>
      </c>
      <c r="V3" s="12">
        <v>1</v>
      </c>
      <c r="W3" s="12">
        <v>1</v>
      </c>
      <c r="X3" s="12">
        <v>1</v>
      </c>
      <c r="Y3" s="12">
        <v>1</v>
      </c>
    </row>
    <row r="4" spans="1:28" s="48" customFormat="1">
      <c r="A4" s="48">
        <v>550</v>
      </c>
      <c r="B4" s="48">
        <v>1</v>
      </c>
      <c r="C4" s="48">
        <v>366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 t="s">
        <v>16</v>
      </c>
      <c r="AA4" s="48" t="s">
        <v>365</v>
      </c>
      <c r="AB4" s="48" t="s">
        <v>370</v>
      </c>
    </row>
    <row r="5" spans="1:28" s="49" customFormat="1">
      <c r="A5" s="49">
        <v>660</v>
      </c>
      <c r="B5" s="49">
        <v>1</v>
      </c>
      <c r="C5" s="49">
        <v>366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 t="s">
        <v>16</v>
      </c>
      <c r="AA5" s="49" t="s">
        <v>518</v>
      </c>
      <c r="AB5" s="49" t="s">
        <v>521</v>
      </c>
    </row>
    <row r="6" spans="1:28" s="82" customFormat="1">
      <c r="A6" s="82">
        <v>99999</v>
      </c>
      <c r="B6" s="82">
        <v>1</v>
      </c>
      <c r="C6" s="82">
        <v>366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2">
        <v>0</v>
      </c>
      <c r="S6" s="82">
        <v>0</v>
      </c>
      <c r="T6" s="82">
        <v>0</v>
      </c>
      <c r="U6" s="82">
        <v>0</v>
      </c>
      <c r="V6" s="82">
        <v>0</v>
      </c>
      <c r="W6" s="82">
        <v>0</v>
      </c>
      <c r="X6" s="82">
        <v>0</v>
      </c>
      <c r="Y6" s="82">
        <v>0</v>
      </c>
      <c r="Z6" s="82" t="s">
        <v>16</v>
      </c>
      <c r="AA6" s="82" t="s">
        <v>537</v>
      </c>
      <c r="AB6" s="82" t="s">
        <v>521</v>
      </c>
    </row>
    <row r="7" spans="1:28">
      <c r="A7" s="12">
        <v>-9</v>
      </c>
    </row>
    <row r="8" spans="1:28">
      <c r="A8" s="12">
        <v>-9</v>
      </c>
    </row>
    <row r="11" spans="1:28">
      <c r="A11" s="12" t="s">
        <v>16</v>
      </c>
      <c r="B11" s="12">
        <v>1</v>
      </c>
      <c r="C11" s="12" t="s">
        <v>1</v>
      </c>
      <c r="D11" s="12" t="s">
        <v>333</v>
      </c>
      <c r="I11" s="5" t="s">
        <v>317</v>
      </c>
    </row>
    <row r="12" spans="1:28">
      <c r="A12" s="12" t="s">
        <v>16</v>
      </c>
      <c r="B12" s="12">
        <v>2</v>
      </c>
      <c r="C12" s="12" t="s">
        <v>48</v>
      </c>
      <c r="D12" s="12" t="s">
        <v>318</v>
      </c>
      <c r="G12" s="12" t="s">
        <v>193</v>
      </c>
    </row>
    <row r="13" spans="1:28">
      <c r="A13" s="12" t="s">
        <v>16</v>
      </c>
      <c r="B13" s="12">
        <v>3</v>
      </c>
      <c r="C13" s="12" t="s">
        <v>49</v>
      </c>
      <c r="D13" s="12" t="s">
        <v>319</v>
      </c>
      <c r="G13" s="12" t="s">
        <v>193</v>
      </c>
    </row>
    <row r="14" spans="1:28">
      <c r="A14" s="12" t="s">
        <v>16</v>
      </c>
      <c r="B14" s="12">
        <v>4</v>
      </c>
      <c r="C14" s="12" t="s">
        <v>50</v>
      </c>
      <c r="D14" s="12" t="s">
        <v>320</v>
      </c>
      <c r="G14" s="12" t="s">
        <v>212</v>
      </c>
    </row>
    <row r="15" spans="1:28">
      <c r="A15" s="12" t="s">
        <v>16</v>
      </c>
      <c r="B15" s="12">
        <v>5</v>
      </c>
      <c r="C15" s="12" t="s">
        <v>51</v>
      </c>
      <c r="D15" s="12" t="s">
        <v>321</v>
      </c>
    </row>
    <row r="16" spans="1:28">
      <c r="A16" s="12" t="s">
        <v>16</v>
      </c>
      <c r="B16" s="12">
        <v>6</v>
      </c>
      <c r="C16" s="12" t="s">
        <v>169</v>
      </c>
      <c r="D16" s="12" t="s">
        <v>322</v>
      </c>
      <c r="G16" s="12" t="s">
        <v>324</v>
      </c>
    </row>
    <row r="17" spans="1:7">
      <c r="A17" s="12" t="s">
        <v>16</v>
      </c>
      <c r="B17" s="12">
        <v>7</v>
      </c>
      <c r="C17" s="12" t="s">
        <v>170</v>
      </c>
      <c r="D17" s="12" t="s">
        <v>322</v>
      </c>
      <c r="G17" s="12" t="s">
        <v>467</v>
      </c>
    </row>
    <row r="18" spans="1:7">
      <c r="A18" s="12" t="s">
        <v>16</v>
      </c>
      <c r="B18" s="12">
        <v>8</v>
      </c>
      <c r="C18" s="12" t="s">
        <v>171</v>
      </c>
      <c r="D18" s="12" t="s">
        <v>322</v>
      </c>
      <c r="G18" s="12" t="s">
        <v>468</v>
      </c>
    </row>
    <row r="19" spans="1:7">
      <c r="A19" s="12" t="s">
        <v>16</v>
      </c>
      <c r="B19" s="12">
        <v>9</v>
      </c>
      <c r="C19" s="12" t="s">
        <v>172</v>
      </c>
      <c r="D19" s="12" t="s">
        <v>323</v>
      </c>
      <c r="G19" s="12" t="s">
        <v>469</v>
      </c>
    </row>
    <row r="20" spans="1:7">
      <c r="A20" s="12" t="s">
        <v>16</v>
      </c>
      <c r="B20" s="12">
        <v>10</v>
      </c>
      <c r="C20" s="12" t="s">
        <v>173</v>
      </c>
      <c r="D20" s="12" t="s">
        <v>323</v>
      </c>
      <c r="G20" s="12" t="s">
        <v>470</v>
      </c>
    </row>
    <row r="21" spans="1:7">
      <c r="A21" s="12" t="s">
        <v>16</v>
      </c>
      <c r="B21" s="12">
        <v>11</v>
      </c>
      <c r="C21" s="12" t="s">
        <v>174</v>
      </c>
      <c r="D21" s="12" t="s">
        <v>323</v>
      </c>
      <c r="G21" s="12" t="s">
        <v>468</v>
      </c>
    </row>
    <row r="22" spans="1:7">
      <c r="A22" s="12" t="s">
        <v>16</v>
      </c>
      <c r="B22" s="12">
        <v>12</v>
      </c>
      <c r="C22" s="12" t="s">
        <v>52</v>
      </c>
      <c r="D22" s="12" t="s">
        <v>331</v>
      </c>
    </row>
    <row r="23" spans="1:7">
      <c r="A23" s="12" t="s">
        <v>16</v>
      </c>
      <c r="B23" s="12">
        <v>13</v>
      </c>
      <c r="C23" s="12" t="s">
        <v>53</v>
      </c>
      <c r="D23" s="12" t="s">
        <v>325</v>
      </c>
    </row>
    <row r="24" spans="1:7">
      <c r="A24" s="12" t="s">
        <v>16</v>
      </c>
      <c r="B24" s="12">
        <v>14</v>
      </c>
      <c r="C24" s="12" t="s">
        <v>54</v>
      </c>
      <c r="D24" s="12" t="s">
        <v>326</v>
      </c>
    </row>
    <row r="25" spans="1:7">
      <c r="A25" s="12" t="s">
        <v>16</v>
      </c>
      <c r="B25" s="12">
        <v>15</v>
      </c>
      <c r="C25" s="12" t="s">
        <v>55</v>
      </c>
      <c r="D25" s="12" t="s">
        <v>327</v>
      </c>
    </row>
    <row r="26" spans="1:7">
      <c r="A26" s="12" t="s">
        <v>16</v>
      </c>
      <c r="B26" s="12">
        <v>16</v>
      </c>
      <c r="C26" s="12" t="s">
        <v>56</v>
      </c>
      <c r="D26" s="12" t="s">
        <v>328</v>
      </c>
    </row>
    <row r="27" spans="1:7">
      <c r="A27" s="12" t="s">
        <v>16</v>
      </c>
      <c r="B27" s="12">
        <v>17</v>
      </c>
      <c r="C27" s="12" t="s">
        <v>57</v>
      </c>
      <c r="D27" s="12" t="s">
        <v>329</v>
      </c>
    </row>
    <row r="28" spans="1:7">
      <c r="A28" s="12" t="s">
        <v>16</v>
      </c>
      <c r="B28" s="12">
        <v>18</v>
      </c>
      <c r="C28" s="12" t="s">
        <v>58</v>
      </c>
      <c r="D28" s="12" t="s">
        <v>330</v>
      </c>
    </row>
    <row r="29" spans="1:7">
      <c r="A29" s="12" t="s">
        <v>16</v>
      </c>
      <c r="B29" s="12">
        <v>19</v>
      </c>
      <c r="C29" s="12" t="s">
        <v>59</v>
      </c>
      <c r="D29" s="12" t="s">
        <v>472</v>
      </c>
    </row>
    <row r="30" spans="1:7">
      <c r="A30" s="12" t="s">
        <v>16</v>
      </c>
      <c r="B30" s="12">
        <v>20</v>
      </c>
      <c r="C30" s="12" t="s">
        <v>60</v>
      </c>
      <c r="D30" s="12" t="s">
        <v>473</v>
      </c>
    </row>
    <row r="31" spans="1:7">
      <c r="A31" s="12" t="s">
        <v>16</v>
      </c>
      <c r="B31" s="12">
        <v>21</v>
      </c>
      <c r="C31" s="12" t="s">
        <v>61</v>
      </c>
      <c r="D31" s="12" t="s">
        <v>474</v>
      </c>
    </row>
    <row r="32" spans="1:7">
      <c r="A32" s="12" t="s">
        <v>16</v>
      </c>
      <c r="B32" s="12">
        <v>22</v>
      </c>
      <c r="C32" s="12" t="s">
        <v>62</v>
      </c>
      <c r="D32" s="12" t="s">
        <v>475</v>
      </c>
    </row>
    <row r="33" spans="1:4">
      <c r="A33" s="12" t="s">
        <v>16</v>
      </c>
      <c r="B33" s="12">
        <v>23</v>
      </c>
      <c r="C33" s="12" t="s">
        <v>63</v>
      </c>
      <c r="D33" s="12" t="s">
        <v>476</v>
      </c>
    </row>
    <row r="34" spans="1:4">
      <c r="A34" s="12" t="s">
        <v>16</v>
      </c>
      <c r="B34" s="12">
        <v>24</v>
      </c>
      <c r="C34" s="12" t="s">
        <v>64</v>
      </c>
      <c r="D34" s="12" t="s">
        <v>477</v>
      </c>
    </row>
    <row r="35" spans="1:4">
      <c r="A35" s="12" t="s">
        <v>16</v>
      </c>
      <c r="B35" s="12">
        <v>25</v>
      </c>
      <c r="C35" s="12" t="s">
        <v>65</v>
      </c>
      <c r="D35" s="12" t="s">
        <v>478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56"/>
  <sheetViews>
    <sheetView workbookViewId="0">
      <selection activeCell="G27" sqref="G27"/>
    </sheetView>
  </sheetViews>
  <sheetFormatPr defaultRowHeight="12.75" customHeight="1"/>
  <cols>
    <col min="1" max="1" width="9.28515625" style="32" customWidth="1"/>
    <col min="2" max="25" width="5.7109375" style="32" customWidth="1"/>
    <col min="26" max="26" width="2.28515625" style="32" customWidth="1"/>
    <col min="27" max="16384" width="9.140625" style="32"/>
  </cols>
  <sheetData>
    <row r="1" spans="1:32" ht="12.75" customHeight="1">
      <c r="A1" s="32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  <c r="J1" s="32">
        <v>10</v>
      </c>
      <c r="K1" s="32">
        <v>11</v>
      </c>
      <c r="L1" s="32">
        <v>12</v>
      </c>
      <c r="M1" s="32">
        <v>13</v>
      </c>
      <c r="N1" s="32">
        <v>14</v>
      </c>
      <c r="O1" s="32">
        <v>15</v>
      </c>
      <c r="P1" s="32">
        <v>16</v>
      </c>
      <c r="Q1" s="32">
        <v>17</v>
      </c>
      <c r="R1" s="32">
        <v>18</v>
      </c>
      <c r="S1" s="32">
        <v>19</v>
      </c>
      <c r="T1" s="32">
        <v>20</v>
      </c>
      <c r="U1" s="32">
        <v>21</v>
      </c>
      <c r="V1" s="32">
        <v>22</v>
      </c>
      <c r="W1" s="32">
        <v>23</v>
      </c>
      <c r="X1" s="32">
        <v>24</v>
      </c>
      <c r="Y1" s="32">
        <v>25</v>
      </c>
    </row>
    <row r="2" spans="1:32" ht="12.75" customHeight="1">
      <c r="A2" s="32" t="s">
        <v>1</v>
      </c>
      <c r="B2" s="50">
        <v>0</v>
      </c>
      <c r="C2" s="50">
        <v>1</v>
      </c>
      <c r="D2" s="50">
        <v>2</v>
      </c>
      <c r="E2" s="50">
        <v>3</v>
      </c>
      <c r="F2" s="50">
        <v>4</v>
      </c>
      <c r="G2" s="50">
        <v>5</v>
      </c>
      <c r="H2" s="50">
        <v>6</v>
      </c>
      <c r="I2" s="50">
        <v>7</v>
      </c>
      <c r="J2" s="50">
        <v>8</v>
      </c>
      <c r="K2" s="50">
        <v>9</v>
      </c>
      <c r="L2" s="50">
        <v>10</v>
      </c>
      <c r="M2" s="50">
        <v>11</v>
      </c>
      <c r="N2" s="50">
        <v>12</v>
      </c>
      <c r="O2" s="50">
        <v>13</v>
      </c>
      <c r="P2" s="50">
        <v>14</v>
      </c>
      <c r="Q2" s="50">
        <v>15</v>
      </c>
      <c r="R2" s="50">
        <v>16</v>
      </c>
      <c r="S2" s="50">
        <v>17</v>
      </c>
      <c r="T2" s="50">
        <v>18</v>
      </c>
      <c r="U2" s="50">
        <v>19</v>
      </c>
      <c r="V2" s="50">
        <v>20</v>
      </c>
      <c r="W2" s="50">
        <v>21</v>
      </c>
      <c r="X2" s="50">
        <v>22</v>
      </c>
      <c r="Y2" s="51">
        <v>23</v>
      </c>
    </row>
    <row r="3" spans="1:32" ht="12.75" customHeight="1">
      <c r="A3" s="32">
        <v>10</v>
      </c>
      <c r="B3" s="52">
        <v>0.01</v>
      </c>
      <c r="C3" s="52">
        <v>0.01</v>
      </c>
      <c r="D3" s="52">
        <v>0.01</v>
      </c>
      <c r="E3" s="52">
        <v>0.01</v>
      </c>
      <c r="F3" s="52">
        <v>0.01</v>
      </c>
      <c r="G3" s="52">
        <v>0.01</v>
      </c>
      <c r="H3" s="52">
        <v>0.01</v>
      </c>
      <c r="I3" s="52">
        <v>0.04</v>
      </c>
      <c r="J3" s="52">
        <v>0.04</v>
      </c>
      <c r="K3" s="52">
        <v>0.04</v>
      </c>
      <c r="L3" s="52">
        <v>0.04</v>
      </c>
      <c r="M3" s="52">
        <v>0.04</v>
      </c>
      <c r="N3" s="52">
        <v>0.04</v>
      </c>
      <c r="O3" s="52">
        <v>0.04</v>
      </c>
      <c r="P3" s="52">
        <v>0.04</v>
      </c>
      <c r="Q3" s="52">
        <v>0.04</v>
      </c>
      <c r="R3" s="52">
        <v>0.13</v>
      </c>
      <c r="S3" s="52">
        <v>0.13</v>
      </c>
      <c r="T3" s="52">
        <v>0.13</v>
      </c>
      <c r="U3" s="52">
        <v>0.13</v>
      </c>
      <c r="V3" s="52">
        <v>0.01</v>
      </c>
      <c r="W3" s="52">
        <v>0.01</v>
      </c>
      <c r="X3" s="52">
        <v>0.01</v>
      </c>
      <c r="Y3" s="53">
        <v>0.01</v>
      </c>
      <c r="Z3" s="54" t="s">
        <v>16</v>
      </c>
      <c r="AA3" s="53" t="s">
        <v>19</v>
      </c>
      <c r="AB3" s="33" t="s">
        <v>18</v>
      </c>
    </row>
    <row r="4" spans="1:32" ht="12.75" customHeight="1">
      <c r="A4" s="32">
        <v>11</v>
      </c>
      <c r="B4" s="52">
        <v>0.03</v>
      </c>
      <c r="C4" s="52">
        <v>0.03</v>
      </c>
      <c r="D4" s="52">
        <v>0.03</v>
      </c>
      <c r="E4" s="52">
        <v>0.03</v>
      </c>
      <c r="F4" s="52">
        <v>0.03</v>
      </c>
      <c r="G4" s="52">
        <v>0.03</v>
      </c>
      <c r="H4" s="52">
        <v>0.03</v>
      </c>
      <c r="I4" s="52">
        <v>0.02</v>
      </c>
      <c r="J4" s="52">
        <v>0.02</v>
      </c>
      <c r="K4" s="52">
        <v>0.02</v>
      </c>
      <c r="L4" s="52">
        <v>0.02</v>
      </c>
      <c r="M4" s="52">
        <v>0.02</v>
      </c>
      <c r="N4" s="52">
        <v>0.02</v>
      </c>
      <c r="O4" s="52">
        <v>0.02</v>
      </c>
      <c r="P4" s="52">
        <v>0.02</v>
      </c>
      <c r="Q4" s="52">
        <v>0.02</v>
      </c>
      <c r="R4" s="52">
        <v>0.12</v>
      </c>
      <c r="S4" s="52">
        <v>0.12</v>
      </c>
      <c r="T4" s="52">
        <v>0.12</v>
      </c>
      <c r="U4" s="52">
        <v>0.12</v>
      </c>
      <c r="V4" s="52">
        <v>0.03</v>
      </c>
      <c r="W4" s="52">
        <v>0.03</v>
      </c>
      <c r="X4" s="52">
        <v>0.03</v>
      </c>
      <c r="Y4" s="53">
        <v>0.03</v>
      </c>
      <c r="Z4" s="54" t="s">
        <v>16</v>
      </c>
      <c r="AA4" s="53" t="s">
        <v>20</v>
      </c>
      <c r="AB4" s="33" t="s">
        <v>18</v>
      </c>
    </row>
    <row r="5" spans="1:32" ht="12.75" customHeight="1">
      <c r="A5" s="32">
        <v>12</v>
      </c>
      <c r="B5" s="52">
        <v>0.04</v>
      </c>
      <c r="C5" s="52">
        <v>0.04</v>
      </c>
      <c r="D5" s="52">
        <v>0.04</v>
      </c>
      <c r="E5" s="52">
        <v>0.04</v>
      </c>
      <c r="F5" s="52">
        <v>0.04</v>
      </c>
      <c r="G5" s="52">
        <v>0.04</v>
      </c>
      <c r="H5" s="52">
        <v>0.04</v>
      </c>
      <c r="I5" s="52">
        <v>0.04</v>
      </c>
      <c r="J5" s="52">
        <v>0.04</v>
      </c>
      <c r="K5" s="52">
        <v>0.04</v>
      </c>
      <c r="L5" s="52">
        <v>0.04</v>
      </c>
      <c r="M5" s="52">
        <v>0.04</v>
      </c>
      <c r="N5" s="52">
        <v>0.04</v>
      </c>
      <c r="O5" s="52">
        <v>0.04</v>
      </c>
      <c r="P5" s="52">
        <v>0.04</v>
      </c>
      <c r="Q5" s="52">
        <v>0.04</v>
      </c>
      <c r="R5" s="52">
        <v>0.05</v>
      </c>
      <c r="S5" s="52">
        <v>0.05</v>
      </c>
      <c r="T5" s="52">
        <v>0.05</v>
      </c>
      <c r="U5" s="52">
        <v>0.05</v>
      </c>
      <c r="V5" s="52">
        <v>0.04</v>
      </c>
      <c r="W5" s="52">
        <v>0.04</v>
      </c>
      <c r="X5" s="52">
        <v>0.04</v>
      </c>
      <c r="Y5" s="53">
        <v>0.04</v>
      </c>
      <c r="Z5" s="54" t="s">
        <v>16</v>
      </c>
      <c r="AA5" s="53" t="s">
        <v>21</v>
      </c>
      <c r="AB5" s="33" t="s">
        <v>18</v>
      </c>
    </row>
    <row r="6" spans="1:32" ht="12.75" customHeight="1"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3"/>
      <c r="Z6" s="54"/>
      <c r="AA6" s="53"/>
      <c r="AB6" s="33"/>
    </row>
    <row r="7" spans="1:32" ht="12.75" customHeight="1">
      <c r="A7" s="32">
        <v>40</v>
      </c>
      <c r="B7" s="52">
        <v>0.3</v>
      </c>
      <c r="C7" s="52">
        <v>0.23</v>
      </c>
      <c r="D7" s="52">
        <v>0.15</v>
      </c>
      <c r="E7" s="52">
        <v>0.13</v>
      </c>
      <c r="F7" s="52">
        <v>0.15</v>
      </c>
      <c r="G7" s="52">
        <v>0.45</v>
      </c>
      <c r="H7" s="52">
        <v>1.2</v>
      </c>
      <c r="I7" s="52">
        <v>1.7</v>
      </c>
      <c r="J7" s="52">
        <v>1.55</v>
      </c>
      <c r="K7" s="52">
        <v>1.4</v>
      </c>
      <c r="L7" s="52">
        <v>1.3</v>
      </c>
      <c r="M7" s="52">
        <v>1.3</v>
      </c>
      <c r="N7" s="52">
        <v>1.35</v>
      </c>
      <c r="O7" s="52">
        <v>1.37</v>
      </c>
      <c r="P7" s="52">
        <v>1.45</v>
      </c>
      <c r="Q7" s="52">
        <v>1.6</v>
      </c>
      <c r="R7" s="52">
        <v>1.75</v>
      </c>
      <c r="S7" s="52">
        <v>1.7</v>
      </c>
      <c r="T7" s="52">
        <v>1.2</v>
      </c>
      <c r="U7" s="52">
        <v>1.1000000000000001</v>
      </c>
      <c r="V7" s="52">
        <v>0.95</v>
      </c>
      <c r="W7" s="52">
        <v>0.65</v>
      </c>
      <c r="X7" s="52">
        <v>0.38</v>
      </c>
      <c r="Y7" s="53">
        <v>0.33</v>
      </c>
      <c r="Z7" s="54" t="s">
        <v>16</v>
      </c>
      <c r="AA7" s="53" t="s">
        <v>22</v>
      </c>
      <c r="AB7" s="33" t="s">
        <v>0</v>
      </c>
    </row>
    <row r="8" spans="1:32" ht="12.75" customHeight="1">
      <c r="A8" s="32">
        <v>41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2">
        <v>1</v>
      </c>
      <c r="N8" s="52">
        <v>1</v>
      </c>
      <c r="O8" s="52">
        <v>1</v>
      </c>
      <c r="P8" s="52">
        <v>1</v>
      </c>
      <c r="Q8" s="52">
        <v>1</v>
      </c>
      <c r="R8" s="52">
        <v>1</v>
      </c>
      <c r="S8" s="52">
        <v>1</v>
      </c>
      <c r="T8" s="52">
        <v>1</v>
      </c>
      <c r="U8" s="52">
        <v>1</v>
      </c>
      <c r="V8" s="52">
        <v>1</v>
      </c>
      <c r="W8" s="52">
        <v>1</v>
      </c>
      <c r="X8" s="52">
        <v>1</v>
      </c>
      <c r="Y8" s="53">
        <v>1</v>
      </c>
      <c r="Z8" s="54" t="s">
        <v>16</v>
      </c>
      <c r="AA8" s="53" t="s">
        <v>22</v>
      </c>
      <c r="AB8" s="33" t="s">
        <v>0</v>
      </c>
    </row>
    <row r="9" spans="1:32" ht="12.75" customHeight="1">
      <c r="A9" s="32">
        <v>42</v>
      </c>
      <c r="B9" s="52">
        <v>0.56999999999999995</v>
      </c>
      <c r="C9" s="52">
        <v>0.45</v>
      </c>
      <c r="D9" s="52">
        <v>0.43</v>
      </c>
      <c r="E9" s="52">
        <v>0.4</v>
      </c>
      <c r="F9" s="52">
        <v>0.4</v>
      </c>
      <c r="G9" s="52">
        <v>0.45</v>
      </c>
      <c r="H9" s="52">
        <v>0.71</v>
      </c>
      <c r="I9" s="52">
        <v>1.2</v>
      </c>
      <c r="J9" s="52">
        <v>1.44</v>
      </c>
      <c r="K9" s="52">
        <v>1.29</v>
      </c>
      <c r="L9" s="52">
        <v>1.28</v>
      </c>
      <c r="M9" s="52">
        <v>1.31</v>
      </c>
      <c r="N9" s="52">
        <v>1.3</v>
      </c>
      <c r="O9" s="52">
        <v>1.32</v>
      </c>
      <c r="P9" s="52">
        <v>1.35</v>
      </c>
      <c r="Q9" s="52">
        <v>1.44</v>
      </c>
      <c r="R9" s="52">
        <v>1.51</v>
      </c>
      <c r="S9" s="52">
        <v>1.41</v>
      </c>
      <c r="T9" s="52">
        <v>1.1399999999999999</v>
      </c>
      <c r="U9" s="52">
        <v>0.99</v>
      </c>
      <c r="V9" s="52">
        <v>0.86</v>
      </c>
      <c r="W9" s="52">
        <v>0.85</v>
      </c>
      <c r="X9" s="52">
        <v>0.8</v>
      </c>
      <c r="Y9" s="53">
        <v>0.7</v>
      </c>
      <c r="Z9" s="54" t="s">
        <v>16</v>
      </c>
      <c r="AA9" s="53" t="s">
        <v>23</v>
      </c>
      <c r="AB9" s="33" t="s">
        <v>0</v>
      </c>
      <c r="AF9" s="32" t="s">
        <v>525</v>
      </c>
    </row>
    <row r="10" spans="1:32" ht="12.75" customHeight="1">
      <c r="A10" s="32">
        <v>43</v>
      </c>
      <c r="B10" s="52">
        <v>0.65</v>
      </c>
      <c r="C10" s="52">
        <v>0.49</v>
      </c>
      <c r="D10" s="52">
        <v>0.46</v>
      </c>
      <c r="E10" s="52">
        <v>0.47</v>
      </c>
      <c r="F10" s="52">
        <v>0.47</v>
      </c>
      <c r="G10" s="52">
        <v>0.53</v>
      </c>
      <c r="H10" s="52">
        <v>0.7</v>
      </c>
      <c r="I10" s="52">
        <v>1.1299999999999999</v>
      </c>
      <c r="J10" s="52">
        <v>1.37</v>
      </c>
      <c r="K10" s="52">
        <v>1.37</v>
      </c>
      <c r="L10" s="52">
        <v>1.3</v>
      </c>
      <c r="M10" s="52">
        <v>1.37</v>
      </c>
      <c r="N10" s="52">
        <v>1.33</v>
      </c>
      <c r="O10" s="52">
        <v>1.3</v>
      </c>
      <c r="P10" s="52">
        <v>1.27</v>
      </c>
      <c r="Q10" s="52">
        <v>1.36</v>
      </c>
      <c r="R10" s="52">
        <v>1.44</v>
      </c>
      <c r="S10" s="52">
        <v>1.3</v>
      </c>
      <c r="T10" s="52">
        <v>1.1000000000000001</v>
      </c>
      <c r="U10" s="52">
        <v>0.98</v>
      </c>
      <c r="V10" s="52">
        <v>0.84</v>
      </c>
      <c r="W10" s="52">
        <v>0.9</v>
      </c>
      <c r="X10" s="52">
        <v>0.87</v>
      </c>
      <c r="Y10" s="53">
        <v>0.74</v>
      </c>
      <c r="Z10" s="54" t="s">
        <v>16</v>
      </c>
      <c r="AA10" s="53" t="s">
        <v>24</v>
      </c>
      <c r="AB10" s="33" t="s">
        <v>0</v>
      </c>
      <c r="AF10" s="32" t="s">
        <v>525</v>
      </c>
    </row>
    <row r="11" spans="1:32" ht="12.75" customHeight="1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4"/>
      <c r="AA11" s="53"/>
    </row>
    <row r="12" spans="1:32" ht="12.75" customHeight="1">
      <c r="A12" s="32">
        <v>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52">
        <v>1</v>
      </c>
      <c r="N12" s="52">
        <v>1</v>
      </c>
      <c r="O12" s="52">
        <v>1</v>
      </c>
      <c r="P12" s="52">
        <v>1</v>
      </c>
      <c r="Q12" s="52">
        <v>1</v>
      </c>
      <c r="R12" s="52">
        <v>1</v>
      </c>
      <c r="S12" s="52">
        <v>1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3">
        <v>0</v>
      </c>
      <c r="Z12" s="54" t="s">
        <v>16</v>
      </c>
      <c r="AA12" s="53" t="s">
        <v>25</v>
      </c>
      <c r="AB12" s="33" t="s">
        <v>26</v>
      </c>
    </row>
    <row r="13" spans="1:32" ht="12.75" customHeight="1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3"/>
      <c r="Z13" s="54"/>
      <c r="AA13" s="53"/>
      <c r="AB13" s="33"/>
    </row>
    <row r="14" spans="1:32" s="38" customFormat="1" ht="12.75" customHeight="1">
      <c r="A14" s="38">
        <v>550</v>
      </c>
      <c r="B14" s="48">
        <v>-999</v>
      </c>
      <c r="C14" s="48">
        <v>-999</v>
      </c>
      <c r="D14" s="48">
        <v>-999</v>
      </c>
      <c r="E14" s="48">
        <v>-999</v>
      </c>
      <c r="F14" s="48">
        <v>-999</v>
      </c>
      <c r="G14" s="48">
        <v>-999</v>
      </c>
      <c r="H14" s="48">
        <v>-999</v>
      </c>
      <c r="I14" s="48">
        <v>-999</v>
      </c>
      <c r="J14" s="48">
        <v>-999</v>
      </c>
      <c r="K14" s="48">
        <v>-999</v>
      </c>
      <c r="L14" s="48">
        <v>-999</v>
      </c>
      <c r="M14" s="48">
        <v>-999</v>
      </c>
      <c r="N14" s="48">
        <v>-999</v>
      </c>
      <c r="O14" s="48">
        <v>-999</v>
      </c>
      <c r="P14" s="48">
        <v>-999</v>
      </c>
      <c r="Q14" s="48">
        <v>-999</v>
      </c>
      <c r="R14" s="48">
        <v>-999</v>
      </c>
      <c r="S14" s="48">
        <v>-999</v>
      </c>
      <c r="T14" s="48">
        <v>-999</v>
      </c>
      <c r="U14" s="48">
        <v>-999</v>
      </c>
      <c r="V14" s="48">
        <v>-999</v>
      </c>
      <c r="W14" s="48">
        <v>-999</v>
      </c>
      <c r="X14" s="48">
        <v>-999</v>
      </c>
      <c r="Y14" s="48">
        <v>-999</v>
      </c>
      <c r="Z14" s="55" t="s">
        <v>16</v>
      </c>
      <c r="AA14" s="56" t="s">
        <v>365</v>
      </c>
      <c r="AB14" s="57" t="s">
        <v>507</v>
      </c>
    </row>
    <row r="15" spans="1:32" s="38" customFormat="1" ht="12.75" customHeight="1">
      <c r="A15" s="38">
        <v>551</v>
      </c>
      <c r="B15" s="48">
        <v>0.56999999999999995</v>
      </c>
      <c r="C15" s="48">
        <v>0.45</v>
      </c>
      <c r="D15" s="48">
        <v>0.43</v>
      </c>
      <c r="E15" s="48">
        <v>0.4</v>
      </c>
      <c r="F15" s="48">
        <v>0.4</v>
      </c>
      <c r="G15" s="48">
        <v>0.45</v>
      </c>
      <c r="H15" s="48">
        <v>0.71</v>
      </c>
      <c r="I15" s="48">
        <v>1.2</v>
      </c>
      <c r="J15" s="48">
        <v>1.44</v>
      </c>
      <c r="K15" s="48">
        <v>1.29</v>
      </c>
      <c r="L15" s="48">
        <v>1.28</v>
      </c>
      <c r="M15" s="48">
        <v>1.31</v>
      </c>
      <c r="N15" s="48">
        <v>1.3</v>
      </c>
      <c r="O15" s="48">
        <v>1.32</v>
      </c>
      <c r="P15" s="48">
        <v>1.35</v>
      </c>
      <c r="Q15" s="48">
        <v>1.44</v>
      </c>
      <c r="R15" s="48">
        <v>1.51</v>
      </c>
      <c r="S15" s="48">
        <v>1.41</v>
      </c>
      <c r="T15" s="48">
        <v>1.1399999999999999</v>
      </c>
      <c r="U15" s="48">
        <v>0.99</v>
      </c>
      <c r="V15" s="48">
        <v>0.86</v>
      </c>
      <c r="W15" s="48">
        <v>0.85</v>
      </c>
      <c r="X15" s="48">
        <v>0.8</v>
      </c>
      <c r="Y15" s="48">
        <v>0.7</v>
      </c>
      <c r="Z15" s="55" t="s">
        <v>16</v>
      </c>
      <c r="AA15" s="56" t="s">
        <v>365</v>
      </c>
      <c r="AB15" s="57" t="s">
        <v>367</v>
      </c>
    </row>
    <row r="16" spans="1:32" s="38" customFormat="1" ht="12.75" customHeight="1">
      <c r="A16" s="38">
        <v>552</v>
      </c>
      <c r="B16" s="48">
        <v>0.65</v>
      </c>
      <c r="C16" s="48">
        <v>0.49</v>
      </c>
      <c r="D16" s="48">
        <v>0.46</v>
      </c>
      <c r="E16" s="48">
        <v>0.47</v>
      </c>
      <c r="F16" s="48">
        <v>0.47</v>
      </c>
      <c r="G16" s="48">
        <v>0.53</v>
      </c>
      <c r="H16" s="48">
        <v>0.7</v>
      </c>
      <c r="I16" s="48">
        <v>1.1299999999999999</v>
      </c>
      <c r="J16" s="48">
        <v>1.37</v>
      </c>
      <c r="K16" s="48">
        <v>1.37</v>
      </c>
      <c r="L16" s="48">
        <v>1.3</v>
      </c>
      <c r="M16" s="48">
        <v>1.37</v>
      </c>
      <c r="N16" s="48">
        <v>1.33</v>
      </c>
      <c r="O16" s="48">
        <v>1.3</v>
      </c>
      <c r="P16" s="48">
        <v>1.27</v>
      </c>
      <c r="Q16" s="48">
        <v>1.36</v>
      </c>
      <c r="R16" s="48">
        <v>1.44</v>
      </c>
      <c r="S16" s="48">
        <v>1.3</v>
      </c>
      <c r="T16" s="48">
        <v>1.1000000000000001</v>
      </c>
      <c r="U16" s="48">
        <v>0.98</v>
      </c>
      <c r="V16" s="48">
        <v>0.84</v>
      </c>
      <c r="W16" s="48">
        <v>0.9</v>
      </c>
      <c r="X16" s="48">
        <v>0.87</v>
      </c>
      <c r="Y16" s="48">
        <v>0.74</v>
      </c>
      <c r="Z16" s="55" t="s">
        <v>16</v>
      </c>
      <c r="AA16" s="56" t="s">
        <v>365</v>
      </c>
      <c r="AB16" s="57" t="s">
        <v>368</v>
      </c>
    </row>
    <row r="17" spans="1:28" ht="12.75" customHeight="1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58"/>
      <c r="AA17" s="59"/>
      <c r="AB17" s="33"/>
    </row>
    <row r="18" spans="1:28" s="43" customFormat="1" ht="12.75" customHeight="1">
      <c r="A18" s="43">
        <v>660</v>
      </c>
      <c r="B18" s="49">
        <v>-999</v>
      </c>
      <c r="C18" s="49">
        <v>-999</v>
      </c>
      <c r="D18" s="49">
        <v>-999</v>
      </c>
      <c r="E18" s="49">
        <v>-999</v>
      </c>
      <c r="F18" s="49">
        <v>-999</v>
      </c>
      <c r="G18" s="49">
        <v>-999</v>
      </c>
      <c r="H18" s="49">
        <v>-999</v>
      </c>
      <c r="I18" s="49">
        <v>-999</v>
      </c>
      <c r="J18" s="49">
        <v>-999</v>
      </c>
      <c r="K18" s="49">
        <v>-999</v>
      </c>
      <c r="L18" s="49">
        <v>-999</v>
      </c>
      <c r="M18" s="49">
        <v>-999</v>
      </c>
      <c r="N18" s="49">
        <v>-999</v>
      </c>
      <c r="O18" s="49">
        <v>-999</v>
      </c>
      <c r="P18" s="49">
        <v>-999</v>
      </c>
      <c r="Q18" s="49">
        <v>-999</v>
      </c>
      <c r="R18" s="49">
        <v>-999</v>
      </c>
      <c r="S18" s="49">
        <v>-999</v>
      </c>
      <c r="T18" s="49">
        <v>-999</v>
      </c>
      <c r="U18" s="49">
        <v>-999</v>
      </c>
      <c r="V18" s="49">
        <v>-999</v>
      </c>
      <c r="W18" s="49">
        <v>-999</v>
      </c>
      <c r="X18" s="49">
        <v>-999</v>
      </c>
      <c r="Y18" s="49">
        <v>-999</v>
      </c>
      <c r="Z18" s="60" t="s">
        <v>16</v>
      </c>
      <c r="AA18" s="61" t="s">
        <v>518</v>
      </c>
      <c r="AB18" s="62" t="s">
        <v>507</v>
      </c>
    </row>
    <row r="19" spans="1:28" s="43" customFormat="1" ht="12.75" customHeight="1">
      <c r="A19" s="43">
        <v>661</v>
      </c>
      <c r="B19" s="49">
        <v>0.56999999999999995</v>
      </c>
      <c r="C19" s="49">
        <v>0.45</v>
      </c>
      <c r="D19" s="49">
        <v>0.43</v>
      </c>
      <c r="E19" s="49">
        <v>0.4</v>
      </c>
      <c r="F19" s="49">
        <v>0.4</v>
      </c>
      <c r="G19" s="49">
        <v>0.45</v>
      </c>
      <c r="H19" s="49">
        <v>0.71</v>
      </c>
      <c r="I19" s="49">
        <v>1.2</v>
      </c>
      <c r="J19" s="49">
        <v>1.44</v>
      </c>
      <c r="K19" s="49">
        <v>1.29</v>
      </c>
      <c r="L19" s="49">
        <v>1.28</v>
      </c>
      <c r="M19" s="49">
        <v>1.31</v>
      </c>
      <c r="N19" s="49">
        <v>1.3</v>
      </c>
      <c r="O19" s="49">
        <v>1.32</v>
      </c>
      <c r="P19" s="49">
        <v>1.35</v>
      </c>
      <c r="Q19" s="49">
        <v>1.44</v>
      </c>
      <c r="R19" s="49">
        <v>1.51</v>
      </c>
      <c r="S19" s="49">
        <v>1.41</v>
      </c>
      <c r="T19" s="49">
        <v>1.1399999999999999</v>
      </c>
      <c r="U19" s="49">
        <v>0.99</v>
      </c>
      <c r="V19" s="49">
        <v>0.86</v>
      </c>
      <c r="W19" s="49">
        <v>0.85</v>
      </c>
      <c r="X19" s="49">
        <v>0.8</v>
      </c>
      <c r="Y19" s="49">
        <v>0.7</v>
      </c>
      <c r="Z19" s="60" t="s">
        <v>16</v>
      </c>
      <c r="AA19" s="61" t="s">
        <v>518</v>
      </c>
      <c r="AB19" s="62" t="s">
        <v>367</v>
      </c>
    </row>
    <row r="20" spans="1:28" s="43" customFormat="1" ht="12.75" customHeight="1">
      <c r="A20" s="43">
        <v>662</v>
      </c>
      <c r="B20" s="49">
        <v>0.65</v>
      </c>
      <c r="C20" s="49">
        <v>0.49</v>
      </c>
      <c r="D20" s="49">
        <v>0.46</v>
      </c>
      <c r="E20" s="49">
        <v>0.47</v>
      </c>
      <c r="F20" s="49">
        <v>0.47</v>
      </c>
      <c r="G20" s="49">
        <v>0.53</v>
      </c>
      <c r="H20" s="49">
        <v>0.7</v>
      </c>
      <c r="I20" s="49">
        <v>1.1299999999999999</v>
      </c>
      <c r="J20" s="49">
        <v>1.37</v>
      </c>
      <c r="K20" s="49">
        <v>1.37</v>
      </c>
      <c r="L20" s="49">
        <v>1.3</v>
      </c>
      <c r="M20" s="49">
        <v>1.37</v>
      </c>
      <c r="N20" s="49">
        <v>1.33</v>
      </c>
      <c r="O20" s="49">
        <v>1.3</v>
      </c>
      <c r="P20" s="49">
        <v>1.27</v>
      </c>
      <c r="Q20" s="49">
        <v>1.36</v>
      </c>
      <c r="R20" s="49">
        <v>1.44</v>
      </c>
      <c r="S20" s="49">
        <v>1.3</v>
      </c>
      <c r="T20" s="49">
        <v>1.1000000000000001</v>
      </c>
      <c r="U20" s="49">
        <v>0.98</v>
      </c>
      <c r="V20" s="49">
        <v>0.84</v>
      </c>
      <c r="W20" s="49">
        <v>0.9</v>
      </c>
      <c r="X20" s="49">
        <v>0.87</v>
      </c>
      <c r="Y20" s="49">
        <v>0.74</v>
      </c>
      <c r="Z20" s="60" t="s">
        <v>16</v>
      </c>
      <c r="AA20" s="61" t="s">
        <v>518</v>
      </c>
      <c r="AB20" s="62" t="s">
        <v>368</v>
      </c>
    </row>
    <row r="21" spans="1:28" ht="12.75" customHeight="1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58"/>
      <c r="AA21" s="59"/>
      <c r="AB21" s="33"/>
    </row>
    <row r="22" spans="1:28" s="81" customFormat="1" ht="12.75" customHeight="1">
      <c r="A22" s="81">
        <v>99999</v>
      </c>
      <c r="B22" s="82">
        <v>-999</v>
      </c>
      <c r="C22" s="82">
        <v>-999</v>
      </c>
      <c r="D22" s="82">
        <v>-999</v>
      </c>
      <c r="E22" s="82">
        <v>-999</v>
      </c>
      <c r="F22" s="82">
        <v>-999</v>
      </c>
      <c r="G22" s="82">
        <v>-999</v>
      </c>
      <c r="H22" s="82">
        <v>-999</v>
      </c>
      <c r="I22" s="82">
        <v>-999</v>
      </c>
      <c r="J22" s="82">
        <v>-999</v>
      </c>
      <c r="K22" s="82">
        <v>-999</v>
      </c>
      <c r="L22" s="82">
        <v>-999</v>
      </c>
      <c r="M22" s="82">
        <v>-999</v>
      </c>
      <c r="N22" s="82">
        <v>-999</v>
      </c>
      <c r="O22" s="82">
        <v>-999</v>
      </c>
      <c r="P22" s="82">
        <v>-999</v>
      </c>
      <c r="Q22" s="82">
        <v>-999</v>
      </c>
      <c r="R22" s="82">
        <v>-999</v>
      </c>
      <c r="S22" s="82">
        <v>-999</v>
      </c>
      <c r="T22" s="82">
        <v>-999</v>
      </c>
      <c r="U22" s="82">
        <v>-999</v>
      </c>
      <c r="V22" s="82">
        <v>-999</v>
      </c>
      <c r="W22" s="82">
        <v>-999</v>
      </c>
      <c r="X22" s="82">
        <v>-999</v>
      </c>
      <c r="Y22" s="82">
        <v>-999</v>
      </c>
      <c r="Z22" s="83" t="s">
        <v>16</v>
      </c>
      <c r="AA22" s="84" t="s">
        <v>537</v>
      </c>
      <c r="AB22" s="85" t="s">
        <v>507</v>
      </c>
    </row>
    <row r="23" spans="1:28" s="81" customFormat="1" ht="12.75" customHeight="1">
      <c r="A23" s="81">
        <v>33661</v>
      </c>
      <c r="B23" s="82">
        <v>0.56999999999999995</v>
      </c>
      <c r="C23" s="82">
        <v>0.45</v>
      </c>
      <c r="D23" s="82">
        <v>0.43</v>
      </c>
      <c r="E23" s="82">
        <v>0.4</v>
      </c>
      <c r="F23" s="82">
        <v>0.4</v>
      </c>
      <c r="G23" s="82">
        <v>0.45</v>
      </c>
      <c r="H23" s="82">
        <v>0.71</v>
      </c>
      <c r="I23" s="82">
        <v>1.2</v>
      </c>
      <c r="J23" s="82">
        <v>1.44</v>
      </c>
      <c r="K23" s="82">
        <v>1.29</v>
      </c>
      <c r="L23" s="82">
        <v>1.28</v>
      </c>
      <c r="M23" s="82">
        <v>1.31</v>
      </c>
      <c r="N23" s="82">
        <v>1.3</v>
      </c>
      <c r="O23" s="82">
        <v>1.32</v>
      </c>
      <c r="P23" s="82">
        <v>1.35</v>
      </c>
      <c r="Q23" s="82">
        <v>1.44</v>
      </c>
      <c r="R23" s="82">
        <v>1.51</v>
      </c>
      <c r="S23" s="82">
        <v>1.41</v>
      </c>
      <c r="T23" s="82">
        <v>1.1399999999999999</v>
      </c>
      <c r="U23" s="82">
        <v>0.99</v>
      </c>
      <c r="V23" s="82">
        <v>0.86</v>
      </c>
      <c r="W23" s="82">
        <v>0.85</v>
      </c>
      <c r="X23" s="82">
        <v>0.8</v>
      </c>
      <c r="Y23" s="82">
        <v>0.7</v>
      </c>
      <c r="Z23" s="83" t="s">
        <v>16</v>
      </c>
      <c r="AA23" s="84" t="s">
        <v>537</v>
      </c>
      <c r="AB23" s="85" t="s">
        <v>367</v>
      </c>
    </row>
    <row r="24" spans="1:28" s="81" customFormat="1" ht="12.75" customHeight="1">
      <c r="A24" s="81">
        <v>33662</v>
      </c>
      <c r="B24" s="82">
        <v>0.65</v>
      </c>
      <c r="C24" s="82">
        <v>0.49</v>
      </c>
      <c r="D24" s="82">
        <v>0.46</v>
      </c>
      <c r="E24" s="82">
        <v>0.47</v>
      </c>
      <c r="F24" s="82">
        <v>0.47</v>
      </c>
      <c r="G24" s="82">
        <v>0.53</v>
      </c>
      <c r="H24" s="82">
        <v>0.7</v>
      </c>
      <c r="I24" s="82">
        <v>1.1299999999999999</v>
      </c>
      <c r="J24" s="82">
        <v>1.37</v>
      </c>
      <c r="K24" s="82">
        <v>1.37</v>
      </c>
      <c r="L24" s="82">
        <v>1.3</v>
      </c>
      <c r="M24" s="82">
        <v>1.37</v>
      </c>
      <c r="N24" s="82">
        <v>1.33</v>
      </c>
      <c r="O24" s="82">
        <v>1.3</v>
      </c>
      <c r="P24" s="82">
        <v>1.27</v>
      </c>
      <c r="Q24" s="82">
        <v>1.36</v>
      </c>
      <c r="R24" s="82">
        <v>1.44</v>
      </c>
      <c r="S24" s="82">
        <v>1.3</v>
      </c>
      <c r="T24" s="82">
        <v>1.1000000000000001</v>
      </c>
      <c r="U24" s="82">
        <v>0.98</v>
      </c>
      <c r="V24" s="82">
        <v>0.84</v>
      </c>
      <c r="W24" s="82">
        <v>0.9</v>
      </c>
      <c r="X24" s="82">
        <v>0.87</v>
      </c>
      <c r="Y24" s="82">
        <v>0.74</v>
      </c>
      <c r="Z24" s="83" t="s">
        <v>16</v>
      </c>
      <c r="AA24" s="84" t="s">
        <v>537</v>
      </c>
      <c r="AB24" s="85" t="s">
        <v>368</v>
      </c>
    </row>
    <row r="25" spans="1:28" ht="12.75" customHeight="1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58"/>
      <c r="AA25" s="86"/>
      <c r="AB25" s="33"/>
    </row>
    <row r="26" spans="1:28" ht="12.75" customHeight="1">
      <c r="A26" s="32">
        <v>-9</v>
      </c>
      <c r="B26" s="63"/>
    </row>
    <row r="27" spans="1:28" ht="12.75" customHeight="1">
      <c r="A27" s="32">
        <v>-9</v>
      </c>
    </row>
    <row r="30" spans="1:28" ht="12.75" customHeight="1">
      <c r="A30" s="32" t="s">
        <v>16</v>
      </c>
      <c r="B30" s="32">
        <v>1</v>
      </c>
      <c r="C30" s="32" t="s">
        <v>1</v>
      </c>
      <c r="D30" s="32" t="s">
        <v>298</v>
      </c>
      <c r="I30" s="32" t="s">
        <v>299</v>
      </c>
      <c r="K30" s="54"/>
    </row>
    <row r="31" spans="1:28" ht="12.75" customHeight="1">
      <c r="A31" s="32" t="s">
        <v>16</v>
      </c>
      <c r="B31" s="64" t="s">
        <v>302</v>
      </c>
      <c r="C31" s="65" t="s">
        <v>300</v>
      </c>
      <c r="D31" s="32" t="s">
        <v>301</v>
      </c>
      <c r="J31" s="13"/>
      <c r="K31" s="13"/>
    </row>
    <row r="32" spans="1:28" ht="12.75" customHeight="1">
      <c r="J32" s="13"/>
      <c r="K32" s="13"/>
    </row>
    <row r="33" spans="3:11" ht="12.75" customHeight="1">
      <c r="C33" s="50"/>
      <c r="J33" s="13"/>
      <c r="K33" s="13"/>
    </row>
    <row r="34" spans="3:11" ht="12.75" customHeight="1">
      <c r="C34" s="50"/>
      <c r="J34" s="13"/>
      <c r="K34" s="13"/>
    </row>
    <row r="35" spans="3:11" ht="12.75" customHeight="1">
      <c r="C35" s="50"/>
      <c r="J35" s="13"/>
      <c r="K35" s="13"/>
    </row>
    <row r="36" spans="3:11" ht="12.75" customHeight="1">
      <c r="C36" s="50"/>
      <c r="J36" s="13"/>
      <c r="K36" s="13"/>
    </row>
    <row r="37" spans="3:11" ht="12.75" customHeight="1">
      <c r="C37" s="50"/>
      <c r="J37" s="13"/>
      <c r="K37" s="13"/>
    </row>
    <row r="38" spans="3:11" ht="12.75" customHeight="1">
      <c r="C38" s="50"/>
      <c r="J38" s="13"/>
      <c r="K38" s="13"/>
    </row>
    <row r="39" spans="3:11" ht="12.75" customHeight="1">
      <c r="C39" s="50"/>
      <c r="J39" s="53"/>
      <c r="K39" s="66"/>
    </row>
    <row r="40" spans="3:11" ht="12.75" customHeight="1">
      <c r="C40" s="50"/>
      <c r="J40" s="53"/>
      <c r="K40" s="66"/>
    </row>
    <row r="41" spans="3:11" ht="12.75" customHeight="1">
      <c r="C41" s="50"/>
      <c r="J41" s="53"/>
    </row>
    <row r="42" spans="3:11" ht="12.75" customHeight="1">
      <c r="C42" s="50"/>
      <c r="J42" s="53"/>
      <c r="K42" s="33"/>
    </row>
    <row r="43" spans="3:11" ht="12.75" customHeight="1">
      <c r="C43" s="50"/>
    </row>
    <row r="44" spans="3:11" ht="12.75" customHeight="1">
      <c r="C44" s="50"/>
    </row>
    <row r="45" spans="3:11" ht="12.75" customHeight="1">
      <c r="C45" s="50"/>
    </row>
    <row r="46" spans="3:11" ht="12.75" customHeight="1">
      <c r="C46" s="50"/>
    </row>
    <row r="47" spans="3:11" ht="12.75" customHeight="1">
      <c r="C47" s="50"/>
    </row>
    <row r="48" spans="3:11" ht="12.75" customHeight="1">
      <c r="C48" s="50"/>
    </row>
    <row r="49" spans="3:3" ht="12.75" customHeight="1">
      <c r="C49" s="50"/>
    </row>
    <row r="50" spans="3:3" ht="12.75" customHeight="1">
      <c r="C50" s="50"/>
    </row>
    <row r="51" spans="3:3" ht="12.75" customHeight="1">
      <c r="C51" s="50"/>
    </row>
    <row r="52" spans="3:3" ht="12.75" customHeight="1">
      <c r="C52" s="50"/>
    </row>
    <row r="53" spans="3:3" ht="12.75" customHeight="1">
      <c r="C53" s="50"/>
    </row>
    <row r="54" spans="3:3" ht="12.75" customHeight="1">
      <c r="C54" s="50"/>
    </row>
    <row r="55" spans="3:3" ht="12.75" customHeight="1">
      <c r="C55" s="50"/>
    </row>
    <row r="56" spans="3:3" ht="12.75" customHeight="1">
      <c r="C56" s="5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49"/>
  <sheetViews>
    <sheetView topLeftCell="A8" workbookViewId="0">
      <selection activeCell="G35" sqref="G35"/>
    </sheetView>
  </sheetViews>
  <sheetFormatPr defaultRowHeight="12.75"/>
  <cols>
    <col min="1" max="1" width="9.140625" style="6" customWidth="1"/>
    <col min="2" max="8" width="7.7109375" style="6" customWidth="1"/>
    <col min="9" max="10" width="10.28515625" style="6" customWidth="1"/>
    <col min="11" max="11" width="2.42578125" style="6" customWidth="1"/>
    <col min="12" max="16384" width="9.140625" style="6"/>
  </cols>
  <sheetData>
    <row r="1" spans="1:13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</row>
    <row r="2" spans="1:13">
      <c r="A2" s="6" t="s">
        <v>1</v>
      </c>
      <c r="B2" s="6" t="s">
        <v>177</v>
      </c>
      <c r="C2" s="6" t="s">
        <v>517</v>
      </c>
      <c r="D2" s="6" t="s">
        <v>179</v>
      </c>
      <c r="E2" s="6" t="s">
        <v>180</v>
      </c>
      <c r="F2" s="6" t="s">
        <v>181</v>
      </c>
      <c r="G2" s="6" t="s">
        <v>182</v>
      </c>
      <c r="H2" s="6" t="s">
        <v>183</v>
      </c>
      <c r="I2" s="6" t="s">
        <v>184</v>
      </c>
      <c r="J2" s="6" t="s">
        <v>185</v>
      </c>
      <c r="K2" s="6" t="s">
        <v>16</v>
      </c>
    </row>
    <row r="3" spans="1:13">
      <c r="A3" s="6">
        <v>10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1</v>
      </c>
      <c r="J3" s="6">
        <v>0</v>
      </c>
      <c r="K3" s="6" t="s">
        <v>16</v>
      </c>
      <c r="L3" s="6" t="s">
        <v>88</v>
      </c>
      <c r="M3" s="6" t="s">
        <v>522</v>
      </c>
    </row>
    <row r="4" spans="1:13">
      <c r="A4" s="6">
        <v>20</v>
      </c>
      <c r="B4" s="6">
        <v>0.06</v>
      </c>
      <c r="C4" s="6">
        <v>0</v>
      </c>
      <c r="D4" s="6">
        <v>0.01</v>
      </c>
      <c r="E4" s="6">
        <v>0.01</v>
      </c>
      <c r="F4" s="6">
        <v>0.01</v>
      </c>
      <c r="G4" s="6">
        <v>0.01</v>
      </c>
      <c r="H4" s="6">
        <v>0</v>
      </c>
      <c r="I4" s="6">
        <v>0.9</v>
      </c>
      <c r="J4" s="6">
        <v>0</v>
      </c>
      <c r="K4" s="6" t="s">
        <v>16</v>
      </c>
      <c r="L4" s="6" t="s">
        <v>89</v>
      </c>
      <c r="M4" s="6" t="s">
        <v>522</v>
      </c>
    </row>
    <row r="5" spans="1:13">
      <c r="A5" s="6">
        <v>30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1</v>
      </c>
      <c r="K5" s="6" t="s">
        <v>16</v>
      </c>
      <c r="L5" s="6" t="s">
        <v>315</v>
      </c>
      <c r="M5" s="6" t="s">
        <v>522</v>
      </c>
    </row>
    <row r="6" spans="1:13">
      <c r="A6" s="6">
        <v>40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1</v>
      </c>
      <c r="K6" s="6" t="s">
        <v>16</v>
      </c>
      <c r="L6" s="6" t="s">
        <v>90</v>
      </c>
      <c r="M6" s="6" t="s">
        <v>522</v>
      </c>
    </row>
    <row r="7" spans="1:13">
      <c r="A7" s="6">
        <v>50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</v>
      </c>
      <c r="K7" s="6" t="s">
        <v>16</v>
      </c>
      <c r="L7" s="6" t="s">
        <v>80</v>
      </c>
      <c r="M7" s="6" t="s">
        <v>522</v>
      </c>
    </row>
    <row r="8" spans="1:13">
      <c r="A8" s="6">
        <v>60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1</v>
      </c>
      <c r="K8" s="6" t="s">
        <v>16</v>
      </c>
      <c r="L8" s="6" t="s">
        <v>93</v>
      </c>
      <c r="M8" s="6" t="s">
        <v>522</v>
      </c>
    </row>
    <row r="9" spans="1:13">
      <c r="A9" s="6">
        <v>70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 t="s">
        <v>16</v>
      </c>
      <c r="L9" s="6" t="s">
        <v>38</v>
      </c>
      <c r="M9" s="6" t="s">
        <v>522</v>
      </c>
    </row>
    <row r="10" spans="1:13">
      <c r="A10" s="6">
        <v>21</v>
      </c>
      <c r="B10" s="6">
        <v>0.03</v>
      </c>
      <c r="C10" s="6">
        <v>0</v>
      </c>
      <c r="D10" s="6">
        <v>0.01</v>
      </c>
      <c r="E10" s="6">
        <v>0.01</v>
      </c>
      <c r="F10" s="6">
        <v>0.01</v>
      </c>
      <c r="G10" s="6">
        <v>0.01</v>
      </c>
      <c r="H10" s="6">
        <v>0</v>
      </c>
      <c r="I10" s="6">
        <v>0.93</v>
      </c>
      <c r="J10" s="6">
        <v>0</v>
      </c>
      <c r="K10" s="6" t="s">
        <v>16</v>
      </c>
      <c r="L10" s="6" t="s">
        <v>89</v>
      </c>
      <c r="M10" s="6" t="s">
        <v>522</v>
      </c>
    </row>
    <row r="12" spans="1:13" s="7" customFormat="1">
      <c r="A12" s="7">
        <v>551</v>
      </c>
      <c r="B12" s="7">
        <v>0</v>
      </c>
      <c r="C12" s="7">
        <v>0</v>
      </c>
      <c r="D12" s="7">
        <v>0</v>
      </c>
      <c r="E12" s="7">
        <v>0</v>
      </c>
      <c r="F12" s="7">
        <v>0.02</v>
      </c>
      <c r="G12" s="7">
        <v>0</v>
      </c>
      <c r="H12" s="7">
        <v>0</v>
      </c>
      <c r="I12" s="7">
        <v>0.98</v>
      </c>
      <c r="J12" s="7">
        <v>0</v>
      </c>
      <c r="K12" s="7" t="s">
        <v>16</v>
      </c>
      <c r="L12" s="7" t="s">
        <v>88</v>
      </c>
      <c r="M12" s="7" t="s">
        <v>365</v>
      </c>
    </row>
    <row r="13" spans="1:13" s="7" customFormat="1">
      <c r="A13" s="7">
        <v>552</v>
      </c>
      <c r="B13" s="7">
        <v>0.08</v>
      </c>
      <c r="C13" s="7">
        <v>0</v>
      </c>
      <c r="D13" s="7">
        <v>0</v>
      </c>
      <c r="E13" s="7">
        <v>0</v>
      </c>
      <c r="F13" s="7">
        <v>0.02</v>
      </c>
      <c r="G13" s="7">
        <v>0</v>
      </c>
      <c r="H13" s="7">
        <v>0</v>
      </c>
      <c r="I13" s="7">
        <v>0.9</v>
      </c>
      <c r="J13" s="7">
        <v>0</v>
      </c>
      <c r="K13" s="7" t="s">
        <v>16</v>
      </c>
      <c r="L13" s="7" t="s">
        <v>516</v>
      </c>
      <c r="M13" s="7" t="s">
        <v>365</v>
      </c>
    </row>
    <row r="14" spans="1:13" s="7" customFormat="1">
      <c r="A14" s="7">
        <v>553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1</v>
      </c>
      <c r="K14" s="7" t="s">
        <v>16</v>
      </c>
      <c r="L14" s="7" t="s">
        <v>91</v>
      </c>
      <c r="M14" s="7" t="s">
        <v>365</v>
      </c>
    </row>
    <row r="15" spans="1:13" s="7" customFormat="1">
      <c r="A15" s="7">
        <v>554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1</v>
      </c>
      <c r="K15" s="7" t="s">
        <v>16</v>
      </c>
      <c r="L15" s="7" t="s">
        <v>92</v>
      </c>
      <c r="M15" s="7" t="s">
        <v>365</v>
      </c>
    </row>
    <row r="16" spans="1:13" s="7" customFormat="1">
      <c r="A16" s="7">
        <v>555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1</v>
      </c>
      <c r="K16" s="7" t="s">
        <v>16</v>
      </c>
      <c r="L16" s="7" t="s">
        <v>80</v>
      </c>
      <c r="M16" s="7" t="s">
        <v>365</v>
      </c>
    </row>
    <row r="17" spans="1:14" s="7" customFormat="1">
      <c r="A17" s="7">
        <v>556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1</v>
      </c>
      <c r="K17" s="7" t="s">
        <v>16</v>
      </c>
      <c r="L17" s="7" t="s">
        <v>103</v>
      </c>
      <c r="M17" s="7" t="s">
        <v>365</v>
      </c>
    </row>
    <row r="18" spans="1:14" s="7" customFormat="1">
      <c r="A18" s="7">
        <v>557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 t="s">
        <v>16</v>
      </c>
      <c r="L18" s="7" t="s">
        <v>38</v>
      </c>
      <c r="M18" s="7" t="s">
        <v>365</v>
      </c>
      <c r="N18" s="7" t="s">
        <v>369</v>
      </c>
    </row>
    <row r="19" spans="1:14" s="21" customFormat="1"/>
    <row r="20" spans="1:14" s="9" customFormat="1">
      <c r="A20" s="9">
        <v>661</v>
      </c>
      <c r="B20" s="9">
        <v>0</v>
      </c>
      <c r="C20" s="9">
        <v>0</v>
      </c>
      <c r="D20" s="9">
        <v>0</v>
      </c>
      <c r="E20" s="9">
        <v>0</v>
      </c>
      <c r="F20" s="9">
        <v>0.05</v>
      </c>
      <c r="G20" s="9">
        <v>0</v>
      </c>
      <c r="H20" s="9">
        <v>0</v>
      </c>
      <c r="I20" s="9">
        <v>0.95</v>
      </c>
      <c r="J20" s="9">
        <v>0</v>
      </c>
      <c r="K20" s="9" t="s">
        <v>16</v>
      </c>
      <c r="L20" s="9" t="s">
        <v>88</v>
      </c>
      <c r="M20" s="9" t="s">
        <v>518</v>
      </c>
    </row>
    <row r="21" spans="1:14" s="9" customFormat="1">
      <c r="A21" s="9">
        <v>662</v>
      </c>
      <c r="B21" s="9">
        <v>0.1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0.9</v>
      </c>
      <c r="J21" s="9">
        <v>0</v>
      </c>
      <c r="K21" s="9" t="s">
        <v>16</v>
      </c>
      <c r="L21" s="9" t="s">
        <v>516</v>
      </c>
      <c r="M21" s="9" t="s">
        <v>518</v>
      </c>
    </row>
    <row r="22" spans="1:14" s="9" customFormat="1">
      <c r="A22" s="9">
        <v>663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1</v>
      </c>
      <c r="K22" s="9" t="s">
        <v>16</v>
      </c>
      <c r="L22" s="9" t="s">
        <v>91</v>
      </c>
      <c r="M22" s="9" t="s">
        <v>518</v>
      </c>
      <c r="N22" s="9" t="s">
        <v>369</v>
      </c>
    </row>
    <row r="23" spans="1:14" s="9" customFormat="1">
      <c r="A23" s="9">
        <v>664</v>
      </c>
      <c r="B23" s="9">
        <v>0.1</v>
      </c>
      <c r="C23" s="9">
        <v>0</v>
      </c>
      <c r="D23" s="9">
        <v>0</v>
      </c>
      <c r="E23" s="9">
        <v>0</v>
      </c>
      <c r="F23" s="9">
        <v>0.2</v>
      </c>
      <c r="G23" s="9">
        <v>0</v>
      </c>
      <c r="H23" s="9">
        <v>0</v>
      </c>
      <c r="I23" s="9">
        <v>0</v>
      </c>
      <c r="J23" s="9">
        <v>0.7</v>
      </c>
      <c r="K23" s="9" t="s">
        <v>16</v>
      </c>
      <c r="L23" s="9" t="s">
        <v>92</v>
      </c>
      <c r="M23" s="9" t="s">
        <v>518</v>
      </c>
    </row>
    <row r="24" spans="1:14" s="9" customFormat="1">
      <c r="A24" s="9">
        <v>665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1</v>
      </c>
      <c r="K24" s="9" t="s">
        <v>16</v>
      </c>
      <c r="L24" s="9" t="s">
        <v>80</v>
      </c>
      <c r="M24" s="9" t="s">
        <v>518</v>
      </c>
    </row>
    <row r="25" spans="1:14" s="9" customFormat="1">
      <c r="A25" s="9">
        <v>666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1</v>
      </c>
      <c r="K25" s="9" t="s">
        <v>16</v>
      </c>
      <c r="L25" s="9" t="s">
        <v>103</v>
      </c>
      <c r="M25" s="9" t="s">
        <v>518</v>
      </c>
      <c r="N25" s="9" t="s">
        <v>369</v>
      </c>
    </row>
    <row r="26" spans="1:14" s="9" customFormat="1">
      <c r="A26" s="9">
        <v>667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 t="s">
        <v>16</v>
      </c>
      <c r="L26" s="9" t="s">
        <v>38</v>
      </c>
      <c r="M26" s="9" t="s">
        <v>518</v>
      </c>
    </row>
    <row r="27" spans="1:14" s="21" customFormat="1"/>
    <row r="28" spans="1:14" s="68" customFormat="1">
      <c r="A28" s="68">
        <v>33661</v>
      </c>
      <c r="B28" s="68">
        <v>0</v>
      </c>
      <c r="C28" s="68">
        <v>0</v>
      </c>
      <c r="D28" s="68">
        <v>0</v>
      </c>
      <c r="E28" s="68">
        <v>0</v>
      </c>
      <c r="F28" s="68">
        <v>0.05</v>
      </c>
      <c r="G28" s="68">
        <v>0</v>
      </c>
      <c r="H28" s="68">
        <v>0</v>
      </c>
      <c r="I28" s="68">
        <v>0.95</v>
      </c>
      <c r="J28" s="68">
        <v>0</v>
      </c>
      <c r="K28" s="68" t="s">
        <v>16</v>
      </c>
      <c r="L28" s="68" t="s">
        <v>88</v>
      </c>
      <c r="M28" s="68" t="s">
        <v>537</v>
      </c>
    </row>
    <row r="29" spans="1:14" s="68" customFormat="1">
      <c r="A29" s="68">
        <v>33662</v>
      </c>
      <c r="B29" s="68">
        <v>0.1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0.9</v>
      </c>
      <c r="J29" s="68">
        <v>0</v>
      </c>
      <c r="K29" s="68" t="s">
        <v>16</v>
      </c>
      <c r="L29" s="68" t="s">
        <v>516</v>
      </c>
      <c r="M29" s="68" t="s">
        <v>537</v>
      </c>
    </row>
    <row r="30" spans="1:14" s="68" customFormat="1">
      <c r="A30" s="68">
        <v>33663</v>
      </c>
      <c r="B30" s="68">
        <v>0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1</v>
      </c>
      <c r="K30" s="68" t="s">
        <v>16</v>
      </c>
      <c r="L30" s="68" t="s">
        <v>91</v>
      </c>
      <c r="M30" s="68" t="s">
        <v>537</v>
      </c>
    </row>
    <row r="31" spans="1:14" s="68" customFormat="1">
      <c r="A31" s="68">
        <v>33664</v>
      </c>
      <c r="B31" s="68">
        <v>0.1</v>
      </c>
      <c r="C31" s="68">
        <v>0</v>
      </c>
      <c r="D31" s="68">
        <v>0</v>
      </c>
      <c r="E31" s="68">
        <v>0</v>
      </c>
      <c r="F31" s="68">
        <v>0.2</v>
      </c>
      <c r="G31" s="68">
        <v>0</v>
      </c>
      <c r="H31" s="68">
        <v>0</v>
      </c>
      <c r="I31" s="68">
        <v>0</v>
      </c>
      <c r="J31" s="68">
        <v>0.7</v>
      </c>
      <c r="K31" s="68" t="s">
        <v>16</v>
      </c>
      <c r="L31" s="68" t="s">
        <v>92</v>
      </c>
      <c r="M31" s="68" t="s">
        <v>537</v>
      </c>
    </row>
    <row r="32" spans="1:14" s="68" customFormat="1">
      <c r="A32" s="68">
        <v>33665</v>
      </c>
      <c r="B32" s="68">
        <v>0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1</v>
      </c>
      <c r="K32" s="68" t="s">
        <v>16</v>
      </c>
      <c r="L32" s="68" t="s">
        <v>80</v>
      </c>
      <c r="M32" s="68" t="s">
        <v>537</v>
      </c>
    </row>
    <row r="33" spans="1:13" s="68" customFormat="1">
      <c r="A33" s="68">
        <v>33666</v>
      </c>
      <c r="B33" s="68">
        <v>0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1</v>
      </c>
      <c r="K33" s="68" t="s">
        <v>16</v>
      </c>
      <c r="L33" s="68" t="s">
        <v>103</v>
      </c>
      <c r="M33" s="68" t="s">
        <v>537</v>
      </c>
    </row>
    <row r="34" spans="1:13" s="68" customFormat="1">
      <c r="A34" s="68">
        <v>33667</v>
      </c>
      <c r="B34" s="68">
        <v>0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 t="s">
        <v>16</v>
      </c>
      <c r="L34" s="68" t="s">
        <v>38</v>
      </c>
      <c r="M34" s="68" t="s">
        <v>537</v>
      </c>
    </row>
    <row r="35" spans="1:13">
      <c r="A35" s="6">
        <v>-9</v>
      </c>
    </row>
    <row r="36" spans="1:13">
      <c r="A36" s="6">
        <v>-9</v>
      </c>
    </row>
    <row r="39" spans="1:13">
      <c r="D39" s="18" t="s">
        <v>305</v>
      </c>
    </row>
    <row r="40" spans="1:13">
      <c r="A40" s="6" t="s">
        <v>16</v>
      </c>
      <c r="B40" s="6">
        <v>1</v>
      </c>
      <c r="C40" s="6" t="s">
        <v>1</v>
      </c>
      <c r="D40" s="6" t="s">
        <v>303</v>
      </c>
      <c r="I40" s="6" t="s">
        <v>304</v>
      </c>
    </row>
    <row r="41" spans="1:13">
      <c r="A41" s="6" t="s">
        <v>16</v>
      </c>
      <c r="B41" s="6">
        <v>2</v>
      </c>
      <c r="C41" s="6" t="s">
        <v>177</v>
      </c>
      <c r="D41" s="6" t="s">
        <v>307</v>
      </c>
      <c r="I41" s="5" t="s">
        <v>312</v>
      </c>
    </row>
    <row r="42" spans="1:13">
      <c r="A42" s="6" t="s">
        <v>16</v>
      </c>
      <c r="B42" s="6">
        <v>3</v>
      </c>
      <c r="C42" s="6" t="s">
        <v>178</v>
      </c>
      <c r="D42" s="6" t="s">
        <v>306</v>
      </c>
      <c r="I42" s="5" t="s">
        <v>312</v>
      </c>
    </row>
    <row r="43" spans="1:13">
      <c r="A43" s="6" t="s">
        <v>16</v>
      </c>
      <c r="B43" s="6">
        <v>4</v>
      </c>
      <c r="C43" s="6" t="s">
        <v>179</v>
      </c>
      <c r="D43" s="6" t="s">
        <v>308</v>
      </c>
      <c r="I43" s="5" t="s">
        <v>312</v>
      </c>
    </row>
    <row r="44" spans="1:13">
      <c r="A44" s="6" t="s">
        <v>16</v>
      </c>
      <c r="B44" s="6">
        <v>5</v>
      </c>
      <c r="C44" s="6" t="s">
        <v>180</v>
      </c>
      <c r="D44" s="6" t="s">
        <v>309</v>
      </c>
      <c r="I44" s="5" t="s">
        <v>312</v>
      </c>
    </row>
    <row r="45" spans="1:13">
      <c r="A45" s="6" t="s">
        <v>16</v>
      </c>
      <c r="B45" s="6">
        <v>6</v>
      </c>
      <c r="C45" s="6" t="s">
        <v>181</v>
      </c>
      <c r="D45" s="6" t="s">
        <v>310</v>
      </c>
      <c r="I45" s="5" t="s">
        <v>312</v>
      </c>
    </row>
    <row r="46" spans="1:13">
      <c r="A46" s="6" t="s">
        <v>16</v>
      </c>
      <c r="B46" s="6">
        <v>7</v>
      </c>
      <c r="C46" s="6" t="s">
        <v>182</v>
      </c>
      <c r="D46" s="6" t="s">
        <v>311</v>
      </c>
      <c r="I46" s="5" t="s">
        <v>312</v>
      </c>
    </row>
    <row r="47" spans="1:13">
      <c r="A47" s="6" t="s">
        <v>16</v>
      </c>
      <c r="B47" s="6">
        <v>8</v>
      </c>
      <c r="C47" s="6" t="s">
        <v>184</v>
      </c>
      <c r="D47" s="6" t="s">
        <v>314</v>
      </c>
      <c r="I47" s="5"/>
    </row>
    <row r="48" spans="1:13">
      <c r="A48" s="6" t="s">
        <v>16</v>
      </c>
      <c r="B48" s="6">
        <v>9</v>
      </c>
      <c r="C48" s="6" t="s">
        <v>185</v>
      </c>
      <c r="D48" s="6" t="s">
        <v>313</v>
      </c>
    </row>
    <row r="49" spans="1:3">
      <c r="A49" s="6" t="s">
        <v>16</v>
      </c>
      <c r="C49" s="6" t="s">
        <v>316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0"/>
  <sheetViews>
    <sheetView topLeftCell="A28" workbookViewId="0">
      <selection activeCell="F16" sqref="F16"/>
    </sheetView>
  </sheetViews>
  <sheetFormatPr defaultRowHeight="12.75"/>
  <cols>
    <col min="1" max="5" width="9.140625" style="6"/>
    <col min="6" max="6" width="94.5703125" style="6" bestFit="1" customWidth="1"/>
    <col min="7" max="7" width="28.85546875" style="6" bestFit="1" customWidth="1"/>
    <col min="8" max="16384" width="9.140625" style="6"/>
  </cols>
  <sheetData>
    <row r="1" spans="1:8">
      <c r="A1" s="6">
        <v>1</v>
      </c>
      <c r="B1" s="6">
        <v>2</v>
      </c>
      <c r="C1" s="6">
        <v>3</v>
      </c>
      <c r="D1" s="6">
        <v>4</v>
      </c>
    </row>
    <row r="2" spans="1:8">
      <c r="A2" s="6" t="s">
        <v>1</v>
      </c>
      <c r="B2" s="6" t="s">
        <v>77</v>
      </c>
      <c r="C2" s="6" t="s">
        <v>78</v>
      </c>
      <c r="D2" s="6" t="s">
        <v>79</v>
      </c>
      <c r="E2" s="6" t="s">
        <v>16</v>
      </c>
      <c r="F2" s="6" t="s">
        <v>371</v>
      </c>
      <c r="G2" s="6" t="s">
        <v>372</v>
      </c>
      <c r="H2" s="6" t="s">
        <v>373</v>
      </c>
    </row>
    <row r="3" spans="1:8">
      <c r="A3" s="6">
        <v>10</v>
      </c>
      <c r="B3" s="6">
        <v>0.71</v>
      </c>
      <c r="C3" s="6">
        <v>0.04</v>
      </c>
      <c r="D3" s="6">
        <v>-39.700000000000003</v>
      </c>
      <c r="E3" s="6" t="s">
        <v>16</v>
      </c>
      <c r="F3" s="6" t="s">
        <v>374</v>
      </c>
      <c r="G3" s="6" t="s">
        <v>375</v>
      </c>
    </row>
    <row r="4" spans="1:8">
      <c r="A4" s="6">
        <v>11</v>
      </c>
      <c r="B4" s="6">
        <v>0.32</v>
      </c>
      <c r="C4" s="6">
        <v>0.01</v>
      </c>
      <c r="D4" s="6">
        <v>-27.7</v>
      </c>
      <c r="E4" s="6" t="s">
        <v>16</v>
      </c>
      <c r="F4" s="6" t="s">
        <v>376</v>
      </c>
      <c r="G4" s="6" t="s">
        <v>377</v>
      </c>
    </row>
    <row r="5" spans="1:8">
      <c r="A5" s="6">
        <v>100</v>
      </c>
      <c r="B5" s="6">
        <v>0.51500000000000001</v>
      </c>
      <c r="C5" s="6">
        <v>2.5000000000000001E-2</v>
      </c>
      <c r="D5" s="6">
        <v>-33.700000000000003</v>
      </c>
      <c r="E5" s="6" t="s">
        <v>16</v>
      </c>
      <c r="F5" s="6" t="s">
        <v>378</v>
      </c>
    </row>
    <row r="6" spans="1:8">
      <c r="A6" s="6">
        <v>200</v>
      </c>
      <c r="B6" s="6">
        <v>0.33600000000000002</v>
      </c>
      <c r="C6" s="6">
        <v>0.313</v>
      </c>
      <c r="D6" s="6">
        <v>-31.4</v>
      </c>
      <c r="E6" s="6" t="s">
        <v>16</v>
      </c>
      <c r="F6" s="6" t="s">
        <v>379</v>
      </c>
    </row>
    <row r="7" spans="1:8">
      <c r="A7" s="6">
        <v>20</v>
      </c>
      <c r="B7" s="6">
        <v>0.11</v>
      </c>
      <c r="C7" s="6">
        <v>0.11</v>
      </c>
      <c r="D7" s="6">
        <v>-12.3</v>
      </c>
      <c r="E7" s="6" t="s">
        <v>16</v>
      </c>
      <c r="F7" s="6" t="s">
        <v>380</v>
      </c>
      <c r="G7" s="6" t="s">
        <v>381</v>
      </c>
    </row>
    <row r="8" spans="1:8">
      <c r="A8" s="6">
        <v>30</v>
      </c>
      <c r="B8" s="6">
        <v>0.32</v>
      </c>
      <c r="C8" s="6">
        <v>0.54</v>
      </c>
      <c r="D8" s="6">
        <v>-27.4</v>
      </c>
      <c r="E8" s="6" t="s">
        <v>16</v>
      </c>
      <c r="F8" s="6" t="s">
        <v>382</v>
      </c>
      <c r="G8" s="6" t="s">
        <v>383</v>
      </c>
    </row>
    <row r="9" spans="1:8">
      <c r="A9" s="6">
        <v>50</v>
      </c>
      <c r="B9" s="6">
        <v>0.38</v>
      </c>
      <c r="C9" s="6">
        <v>0.56000000000000005</v>
      </c>
      <c r="D9" s="6">
        <v>-27.3</v>
      </c>
      <c r="E9" s="6" t="s">
        <v>16</v>
      </c>
      <c r="F9" s="6" t="s">
        <v>384</v>
      </c>
      <c r="G9" s="6" t="s">
        <v>385</v>
      </c>
    </row>
    <row r="10" spans="1:8">
      <c r="A10" s="6">
        <v>51</v>
      </c>
      <c r="B10" s="6">
        <v>0.33</v>
      </c>
      <c r="C10" s="6">
        <v>7.0000000000000007E-2</v>
      </c>
      <c r="D10" s="6">
        <v>-34.9</v>
      </c>
      <c r="E10" s="6" t="s">
        <v>16</v>
      </c>
      <c r="F10" s="6" t="s">
        <v>386</v>
      </c>
      <c r="G10" s="6" t="s">
        <v>387</v>
      </c>
    </row>
    <row r="11" spans="1:8">
      <c r="A11" s="6">
        <v>52</v>
      </c>
      <c r="B11" s="6">
        <v>0.35</v>
      </c>
      <c r="C11" s="6">
        <v>0.43</v>
      </c>
      <c r="D11" s="6">
        <v>-36.5</v>
      </c>
      <c r="E11" s="6" t="s">
        <v>16</v>
      </c>
      <c r="F11" s="6" t="s">
        <v>388</v>
      </c>
      <c r="G11" s="6" t="s">
        <v>387</v>
      </c>
    </row>
    <row r="12" spans="1:8">
      <c r="A12" s="6">
        <v>53</v>
      </c>
      <c r="B12" s="6">
        <v>0.36</v>
      </c>
      <c r="C12" s="6">
        <v>0.27</v>
      </c>
      <c r="D12" s="6">
        <v>-42.4</v>
      </c>
      <c r="E12" s="6" t="s">
        <v>16</v>
      </c>
      <c r="F12" s="6" t="s">
        <v>384</v>
      </c>
      <c r="G12" s="6" t="s">
        <v>389</v>
      </c>
    </row>
    <row r="13" spans="1:8">
      <c r="A13" s="6">
        <v>55</v>
      </c>
      <c r="B13" s="6">
        <v>0.35499999999999998</v>
      </c>
      <c r="C13" s="6">
        <v>0.33500000000000002</v>
      </c>
      <c r="D13" s="6">
        <v>-35.274999999999999</v>
      </c>
      <c r="E13" s="6" t="s">
        <v>16</v>
      </c>
      <c r="F13" s="6" t="s">
        <v>390</v>
      </c>
    </row>
    <row r="14" spans="1:8">
      <c r="A14" s="6">
        <v>60</v>
      </c>
      <c r="B14" s="6">
        <v>0.5</v>
      </c>
      <c r="C14" s="6">
        <v>0.21</v>
      </c>
      <c r="D14" s="6">
        <v>-39.1</v>
      </c>
      <c r="E14" s="6" t="s">
        <v>16</v>
      </c>
      <c r="F14" s="6" t="s">
        <v>391</v>
      </c>
      <c r="G14" s="6" t="s">
        <v>392</v>
      </c>
    </row>
    <row r="15" spans="1:8">
      <c r="A15" s="6">
        <v>61</v>
      </c>
      <c r="B15" s="6">
        <v>0.25</v>
      </c>
      <c r="C15" s="6">
        <v>0.6</v>
      </c>
      <c r="D15" s="6">
        <v>-30</v>
      </c>
      <c r="E15" s="6" t="s">
        <v>16</v>
      </c>
      <c r="F15" s="6" t="s">
        <v>9</v>
      </c>
      <c r="G15" s="6" t="s">
        <v>393</v>
      </c>
    </row>
    <row r="16" spans="1:8">
      <c r="A16" s="6">
        <v>713</v>
      </c>
      <c r="B16" s="6">
        <v>0.17</v>
      </c>
      <c r="C16" s="6">
        <v>0.1</v>
      </c>
      <c r="D16" s="6">
        <v>-17</v>
      </c>
      <c r="E16" s="6" t="s">
        <v>16</v>
      </c>
      <c r="F16" s="6" t="s">
        <v>394</v>
      </c>
      <c r="G16" s="6" t="s">
        <v>81</v>
      </c>
    </row>
    <row r="17" spans="1:8">
      <c r="A17" s="6">
        <v>701</v>
      </c>
      <c r="B17" s="6">
        <v>0.3</v>
      </c>
      <c r="C17" s="6">
        <v>0.96</v>
      </c>
      <c r="D17" s="6">
        <v>-24</v>
      </c>
      <c r="E17" s="6" t="s">
        <v>16</v>
      </c>
      <c r="F17" s="6" t="s">
        <v>395</v>
      </c>
      <c r="G17" s="6" t="s">
        <v>396</v>
      </c>
    </row>
    <row r="18" spans="1:8">
      <c r="A18" s="6">
        <v>702</v>
      </c>
      <c r="B18" s="6">
        <v>0.26</v>
      </c>
      <c r="C18" s="6">
        <v>0.89</v>
      </c>
      <c r="D18" s="6">
        <v>-21</v>
      </c>
      <c r="E18" s="6" t="s">
        <v>16</v>
      </c>
      <c r="F18" s="6" t="s">
        <v>397</v>
      </c>
      <c r="G18" s="6" t="s">
        <v>396</v>
      </c>
    </row>
    <row r="19" spans="1:8">
      <c r="A19" s="6">
        <v>703</v>
      </c>
      <c r="B19" s="6">
        <v>0.23</v>
      </c>
      <c r="C19" s="6">
        <v>0.87</v>
      </c>
      <c r="D19" s="6">
        <v>-24</v>
      </c>
      <c r="E19" s="6" t="s">
        <v>16</v>
      </c>
      <c r="F19" s="6" t="s">
        <v>398</v>
      </c>
      <c r="G19" s="6" t="s">
        <v>396</v>
      </c>
    </row>
    <row r="20" spans="1:8">
      <c r="A20" s="6">
        <v>704</v>
      </c>
      <c r="B20" s="6">
        <v>0.23</v>
      </c>
      <c r="C20" s="6">
        <v>0.69</v>
      </c>
      <c r="D20" s="6">
        <v>-21</v>
      </c>
      <c r="E20" s="6" t="s">
        <v>16</v>
      </c>
      <c r="F20" s="6" t="s">
        <v>399</v>
      </c>
      <c r="G20" s="6" t="s">
        <v>396</v>
      </c>
    </row>
    <row r="21" spans="1:8">
      <c r="A21" s="6">
        <v>705</v>
      </c>
      <c r="B21" s="6">
        <v>0.06</v>
      </c>
      <c r="C21" s="6">
        <v>0.28000000000000003</v>
      </c>
      <c r="D21" s="6">
        <v>-3</v>
      </c>
      <c r="E21" s="6" t="s">
        <v>16</v>
      </c>
      <c r="F21" s="6" t="s">
        <v>400</v>
      </c>
      <c r="G21" s="6" t="s">
        <v>396</v>
      </c>
    </row>
    <row r="22" spans="1:8">
      <c r="A22" s="6">
        <v>706</v>
      </c>
      <c r="B22" s="6">
        <v>0.15</v>
      </c>
      <c r="C22" s="6">
        <v>0.28000000000000003</v>
      </c>
      <c r="D22" s="6">
        <v>-6</v>
      </c>
      <c r="E22" s="6" t="s">
        <v>16</v>
      </c>
      <c r="F22" s="6" t="s">
        <v>401</v>
      </c>
      <c r="G22" s="6" t="s">
        <v>396</v>
      </c>
    </row>
    <row r="23" spans="1:8">
      <c r="A23" s="6">
        <v>707</v>
      </c>
      <c r="B23" s="6">
        <v>0.12</v>
      </c>
      <c r="C23" s="6">
        <v>0.25</v>
      </c>
      <c r="D23" s="6">
        <v>-5</v>
      </c>
      <c r="E23" s="6" t="s">
        <v>16</v>
      </c>
      <c r="F23" s="6" t="s">
        <v>402</v>
      </c>
      <c r="G23" s="6" t="s">
        <v>396</v>
      </c>
    </row>
    <row r="24" spans="1:8">
      <c r="A24" s="6">
        <v>708</v>
      </c>
      <c r="B24" s="6">
        <v>0.1</v>
      </c>
      <c r="C24" s="6">
        <v>0.23</v>
      </c>
      <c r="D24" s="6">
        <v>-6</v>
      </c>
      <c r="E24" s="6" t="s">
        <v>16</v>
      </c>
      <c r="F24" s="6" t="s">
        <v>403</v>
      </c>
      <c r="G24" s="6" t="s">
        <v>396</v>
      </c>
    </row>
    <row r="25" spans="1:8">
      <c r="A25" s="6">
        <v>709</v>
      </c>
      <c r="B25" s="6">
        <v>0.09</v>
      </c>
      <c r="C25" s="6">
        <v>0.18</v>
      </c>
      <c r="D25" s="6">
        <v>-1</v>
      </c>
      <c r="E25" s="6" t="s">
        <v>16</v>
      </c>
      <c r="F25" s="6" t="s">
        <v>404</v>
      </c>
      <c r="G25" s="6" t="s">
        <v>396</v>
      </c>
    </row>
    <row r="26" spans="1:8">
      <c r="A26" s="6">
        <v>710</v>
      </c>
      <c r="B26" s="6">
        <v>7.0000000000000007E-2</v>
      </c>
      <c r="C26" s="6">
        <v>0.26</v>
      </c>
      <c r="D26" s="6">
        <v>-6</v>
      </c>
      <c r="E26" s="6" t="s">
        <v>16</v>
      </c>
      <c r="F26" s="6" t="s">
        <v>405</v>
      </c>
      <c r="G26" s="6" t="s">
        <v>396</v>
      </c>
    </row>
    <row r="27" spans="1:8">
      <c r="A27" s="6">
        <v>711</v>
      </c>
      <c r="B27" s="6">
        <v>0.06</v>
      </c>
      <c r="C27" s="6">
        <v>0.43</v>
      </c>
      <c r="D27" s="6">
        <v>-4</v>
      </c>
      <c r="E27" s="6" t="s">
        <v>16</v>
      </c>
      <c r="F27" s="6" t="s">
        <v>406</v>
      </c>
      <c r="G27" s="6" t="s">
        <v>396</v>
      </c>
    </row>
    <row r="28" spans="1:8">
      <c r="A28" s="6">
        <v>712</v>
      </c>
      <c r="B28" s="6">
        <v>7.0000000000000007E-2</v>
      </c>
      <c r="C28" s="6">
        <v>0.06</v>
      </c>
      <c r="D28" s="6">
        <v>-5</v>
      </c>
      <c r="E28" s="6" t="s">
        <v>16</v>
      </c>
      <c r="F28" s="6" t="s">
        <v>407</v>
      </c>
      <c r="G28" s="6" t="s">
        <v>396</v>
      </c>
    </row>
    <row r="29" spans="1:8">
      <c r="A29" s="6">
        <v>750</v>
      </c>
      <c r="B29" s="6">
        <v>0.19</v>
      </c>
      <c r="C29" s="6">
        <v>0.54</v>
      </c>
      <c r="D29" s="6">
        <v>-15.125</v>
      </c>
      <c r="E29" s="6" t="s">
        <v>16</v>
      </c>
      <c r="F29" s="6" t="s">
        <v>413</v>
      </c>
      <c r="G29" s="6" t="s">
        <v>393</v>
      </c>
    </row>
    <row r="30" spans="1:8">
      <c r="A30" s="6">
        <v>751</v>
      </c>
      <c r="B30" s="6">
        <v>0.12</v>
      </c>
      <c r="C30" s="6">
        <v>0.24</v>
      </c>
      <c r="D30" s="6">
        <v>-4.5</v>
      </c>
      <c r="E30" s="6" t="s">
        <v>16</v>
      </c>
      <c r="F30" s="6" t="s">
        <v>414</v>
      </c>
      <c r="G30" s="6" t="s">
        <v>393</v>
      </c>
    </row>
    <row r="31" spans="1:8">
      <c r="A31" s="6">
        <v>752</v>
      </c>
      <c r="B31" s="6">
        <v>0.26</v>
      </c>
      <c r="C31" s="6">
        <v>0.85</v>
      </c>
      <c r="D31" s="6">
        <v>-21.4</v>
      </c>
      <c r="E31" s="6" t="s">
        <v>16</v>
      </c>
      <c r="F31" s="6" t="s">
        <v>415</v>
      </c>
      <c r="G31" s="6" t="s">
        <v>393</v>
      </c>
    </row>
    <row r="32" spans="1:8">
      <c r="A32" s="6">
        <v>790</v>
      </c>
      <c r="B32" s="6">
        <v>0.44</v>
      </c>
      <c r="C32" s="6">
        <v>0.56999999999999995</v>
      </c>
      <c r="D32" s="6">
        <v>-28.9</v>
      </c>
      <c r="E32" s="6" t="s">
        <v>16</v>
      </c>
      <c r="F32" s="6" t="s">
        <v>408</v>
      </c>
      <c r="G32" s="6" t="s">
        <v>409</v>
      </c>
      <c r="H32" s="6" t="s">
        <v>83</v>
      </c>
    </row>
    <row r="33" spans="1:9">
      <c r="A33" s="6">
        <v>791</v>
      </c>
      <c r="B33" s="6">
        <v>0.82</v>
      </c>
      <c r="C33" s="6">
        <v>0.34</v>
      </c>
      <c r="D33" s="6">
        <v>-55.7</v>
      </c>
      <c r="E33" s="6" t="s">
        <v>16</v>
      </c>
      <c r="F33" s="6" t="s">
        <v>410</v>
      </c>
      <c r="G33" s="6" t="s">
        <v>411</v>
      </c>
      <c r="H33" s="6" t="s">
        <v>83</v>
      </c>
    </row>
    <row r="34" spans="1:9">
      <c r="A34" s="6">
        <v>799</v>
      </c>
      <c r="B34" s="6">
        <v>0.23799999999999999</v>
      </c>
      <c r="C34" s="6">
        <v>0.42699999999999999</v>
      </c>
      <c r="D34" s="6">
        <v>-16.7</v>
      </c>
      <c r="E34" s="6" t="s">
        <v>16</v>
      </c>
      <c r="F34" s="6" t="s">
        <v>412</v>
      </c>
    </row>
    <row r="35" spans="1:9">
      <c r="A35" s="6">
        <v>800</v>
      </c>
      <c r="B35" s="6">
        <v>0.71899999999999997</v>
      </c>
      <c r="C35" s="6">
        <v>0.19400000000000001</v>
      </c>
      <c r="D35" s="6">
        <v>-36.6</v>
      </c>
      <c r="E35" s="6" t="s">
        <v>16</v>
      </c>
      <c r="F35" s="6" t="s">
        <v>421</v>
      </c>
    </row>
    <row r="36" spans="1:9">
      <c r="A36" s="6">
        <v>801</v>
      </c>
      <c r="B36" s="6">
        <v>0.81</v>
      </c>
      <c r="C36" s="6">
        <v>0.1</v>
      </c>
      <c r="D36" s="6">
        <v>-79.900000000000006</v>
      </c>
      <c r="E36" s="6" t="s">
        <v>16</v>
      </c>
      <c r="F36" s="6" t="s">
        <v>84</v>
      </c>
      <c r="G36" s="6" t="s">
        <v>383</v>
      </c>
    </row>
    <row r="37" spans="1:9">
      <c r="A37" s="6">
        <v>802</v>
      </c>
      <c r="B37" s="6">
        <v>0.85</v>
      </c>
      <c r="C37" s="6">
        <v>0.32</v>
      </c>
      <c r="D37" s="6">
        <v>-28.5</v>
      </c>
      <c r="E37" s="6" t="s">
        <v>16</v>
      </c>
      <c r="F37" s="6" t="s">
        <v>84</v>
      </c>
      <c r="G37" s="6" t="s">
        <v>416</v>
      </c>
    </row>
    <row r="38" spans="1:9">
      <c r="A38" s="6">
        <v>901</v>
      </c>
      <c r="B38" s="6">
        <v>0.36</v>
      </c>
      <c r="C38" s="6">
        <v>0.23</v>
      </c>
      <c r="D38" s="6">
        <v>-19.3</v>
      </c>
      <c r="E38" s="6" t="s">
        <v>16</v>
      </c>
      <c r="F38" s="6" t="s">
        <v>82</v>
      </c>
      <c r="G38" s="6" t="s">
        <v>417</v>
      </c>
    </row>
    <row r="39" spans="1:9">
      <c r="A39" s="6">
        <v>902</v>
      </c>
      <c r="B39" s="6">
        <v>0.64</v>
      </c>
      <c r="C39" s="6">
        <v>0.32</v>
      </c>
      <c r="D39" s="6">
        <v>-43.6</v>
      </c>
      <c r="E39" s="6" t="s">
        <v>16</v>
      </c>
      <c r="F39" s="6" t="s">
        <v>82</v>
      </c>
      <c r="G39" s="6" t="s">
        <v>416</v>
      </c>
    </row>
    <row r="40" spans="1:9">
      <c r="A40" s="6">
        <v>903</v>
      </c>
      <c r="B40" s="6">
        <v>0.82</v>
      </c>
      <c r="C40" s="6">
        <v>0.68</v>
      </c>
      <c r="D40" s="6">
        <v>-20.100000000000001</v>
      </c>
      <c r="E40" s="6" t="s">
        <v>16</v>
      </c>
      <c r="F40" s="6" t="s">
        <v>82</v>
      </c>
      <c r="G40" s="6" t="s">
        <v>418</v>
      </c>
    </row>
    <row r="41" spans="1:9">
      <c r="A41" s="6">
        <v>905</v>
      </c>
      <c r="B41" s="6">
        <v>0.72</v>
      </c>
      <c r="C41" s="6">
        <v>0.54</v>
      </c>
      <c r="D41" s="6">
        <v>-40.200000000000003</v>
      </c>
      <c r="E41" s="6" t="s">
        <v>16</v>
      </c>
      <c r="F41" s="6" t="s">
        <v>419</v>
      </c>
      <c r="G41" s="6" t="s">
        <v>418</v>
      </c>
    </row>
    <row r="42" spans="1:9">
      <c r="A42" s="6">
        <v>906</v>
      </c>
      <c r="B42" s="6">
        <v>0.83</v>
      </c>
      <c r="C42" s="6">
        <v>-0.83</v>
      </c>
      <c r="D42" s="6">
        <v>-24.6</v>
      </c>
      <c r="E42" s="6" t="s">
        <v>16</v>
      </c>
      <c r="F42" s="6" t="s">
        <v>420</v>
      </c>
      <c r="G42" s="6" t="s">
        <v>418</v>
      </c>
    </row>
    <row r="43" spans="1:9">
      <c r="A43" s="6">
        <v>-9</v>
      </c>
    </row>
    <row r="44" spans="1:9">
      <c r="A44" s="6">
        <v>-9</v>
      </c>
    </row>
    <row r="47" spans="1:9">
      <c r="A47" s="6" t="s">
        <v>16</v>
      </c>
      <c r="B47" s="6">
        <v>1</v>
      </c>
      <c r="C47" s="6" t="s">
        <v>1</v>
      </c>
      <c r="D47" s="6" t="s">
        <v>350</v>
      </c>
      <c r="I47" s="6" t="s">
        <v>486</v>
      </c>
    </row>
    <row r="48" spans="1:9">
      <c r="A48" s="6" t="s">
        <v>16</v>
      </c>
      <c r="B48" s="6">
        <v>2</v>
      </c>
      <c r="C48" s="6" t="s">
        <v>77</v>
      </c>
      <c r="D48" s="6" t="s">
        <v>351</v>
      </c>
      <c r="G48" s="6" t="s">
        <v>354</v>
      </c>
    </row>
    <row r="49" spans="1:7">
      <c r="A49" s="6" t="s">
        <v>16</v>
      </c>
      <c r="B49" s="6">
        <v>3</v>
      </c>
      <c r="C49" s="6" t="s">
        <v>78</v>
      </c>
      <c r="D49" s="6" t="s">
        <v>352</v>
      </c>
      <c r="G49" s="6" t="s">
        <v>509</v>
      </c>
    </row>
    <row r="50" spans="1:7">
      <c r="A50" s="6" t="s">
        <v>16</v>
      </c>
      <c r="B50" s="6">
        <v>4</v>
      </c>
      <c r="C50" s="6" t="s">
        <v>79</v>
      </c>
      <c r="D50" s="6" t="s">
        <v>353</v>
      </c>
      <c r="G50" s="6" t="s">
        <v>343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63"/>
  <sheetViews>
    <sheetView tabSelected="1" topLeftCell="A37" workbookViewId="0">
      <selection activeCell="A64" sqref="A64"/>
    </sheetView>
  </sheetViews>
  <sheetFormatPr defaultRowHeight="15"/>
  <cols>
    <col min="1" max="16384" width="9.140625" style="88"/>
  </cols>
  <sheetData>
    <row r="1" spans="1:58">
      <c r="A1" s="87">
        <v>1</v>
      </c>
      <c r="B1" s="87">
        <v>2</v>
      </c>
      <c r="C1" s="87">
        <v>3</v>
      </c>
      <c r="D1" s="87">
        <v>4</v>
      </c>
      <c r="E1" s="87">
        <v>5</v>
      </c>
      <c r="F1" s="87">
        <v>6</v>
      </c>
      <c r="G1" s="87">
        <v>7</v>
      </c>
      <c r="H1" s="87">
        <v>8</v>
      </c>
      <c r="I1" s="87">
        <v>9</v>
      </c>
      <c r="J1" s="87">
        <v>10</v>
      </c>
      <c r="K1" s="87">
        <v>11</v>
      </c>
      <c r="L1" s="87">
        <v>12</v>
      </c>
      <c r="M1" s="87">
        <v>13</v>
      </c>
      <c r="N1" s="87">
        <v>14</v>
      </c>
      <c r="O1" s="87">
        <v>15</v>
      </c>
      <c r="P1" s="87">
        <v>16</v>
      </c>
      <c r="Q1" s="87">
        <f>P1+1</f>
        <v>17</v>
      </c>
      <c r="R1" s="87">
        <f t="shared" ref="R1:AZ1" si="0">Q1+1</f>
        <v>18</v>
      </c>
      <c r="S1" s="87">
        <f t="shared" si="0"/>
        <v>19</v>
      </c>
      <c r="T1" s="87">
        <f t="shared" si="0"/>
        <v>20</v>
      </c>
      <c r="U1" s="87">
        <f t="shared" si="0"/>
        <v>21</v>
      </c>
      <c r="V1" s="87">
        <f t="shared" si="0"/>
        <v>22</v>
      </c>
      <c r="W1" s="87">
        <f t="shared" si="0"/>
        <v>23</v>
      </c>
      <c r="X1" s="87">
        <f t="shared" si="0"/>
        <v>24</v>
      </c>
      <c r="Y1" s="87">
        <f t="shared" si="0"/>
        <v>25</v>
      </c>
      <c r="Z1" s="87">
        <f t="shared" si="0"/>
        <v>26</v>
      </c>
      <c r="AA1" s="87">
        <f t="shared" si="0"/>
        <v>27</v>
      </c>
      <c r="AB1" s="87">
        <f t="shared" si="0"/>
        <v>28</v>
      </c>
      <c r="AC1" s="87">
        <f t="shared" si="0"/>
        <v>29</v>
      </c>
      <c r="AD1" s="87">
        <f t="shared" si="0"/>
        <v>30</v>
      </c>
      <c r="AE1" s="87">
        <f t="shared" si="0"/>
        <v>31</v>
      </c>
      <c r="AF1" s="87">
        <f t="shared" si="0"/>
        <v>32</v>
      </c>
      <c r="AG1" s="87">
        <f t="shared" si="0"/>
        <v>33</v>
      </c>
      <c r="AH1" s="87">
        <f t="shared" si="0"/>
        <v>34</v>
      </c>
      <c r="AI1" s="87">
        <f t="shared" si="0"/>
        <v>35</v>
      </c>
      <c r="AJ1" s="87">
        <f t="shared" si="0"/>
        <v>36</v>
      </c>
      <c r="AK1" s="87">
        <f t="shared" si="0"/>
        <v>37</v>
      </c>
      <c r="AL1" s="87">
        <f t="shared" si="0"/>
        <v>38</v>
      </c>
      <c r="AM1" s="87">
        <f t="shared" si="0"/>
        <v>39</v>
      </c>
      <c r="AN1" s="87">
        <f t="shared" si="0"/>
        <v>40</v>
      </c>
      <c r="AO1" s="87">
        <f t="shared" si="0"/>
        <v>41</v>
      </c>
      <c r="AP1" s="87">
        <f t="shared" si="0"/>
        <v>42</v>
      </c>
      <c r="AQ1" s="87">
        <f t="shared" si="0"/>
        <v>43</v>
      </c>
      <c r="AR1" s="87">
        <f t="shared" si="0"/>
        <v>44</v>
      </c>
      <c r="AS1" s="87">
        <f t="shared" si="0"/>
        <v>45</v>
      </c>
      <c r="AT1" s="87">
        <f t="shared" si="0"/>
        <v>46</v>
      </c>
      <c r="AU1" s="87">
        <f t="shared" si="0"/>
        <v>47</v>
      </c>
      <c r="AV1" s="87">
        <f t="shared" si="0"/>
        <v>48</v>
      </c>
      <c r="AW1" s="87">
        <f t="shared" si="0"/>
        <v>49</v>
      </c>
      <c r="AX1" s="87">
        <f t="shared" si="0"/>
        <v>50</v>
      </c>
      <c r="AY1" s="87">
        <f t="shared" si="0"/>
        <v>51</v>
      </c>
      <c r="AZ1" s="87">
        <f t="shared" si="0"/>
        <v>52</v>
      </c>
      <c r="BA1" s="87">
        <v>53</v>
      </c>
    </row>
    <row r="2" spans="1:58">
      <c r="A2" s="87" t="s">
        <v>1</v>
      </c>
      <c r="B2" s="87" t="s">
        <v>543</v>
      </c>
      <c r="C2" s="87" t="s">
        <v>544</v>
      </c>
      <c r="D2" s="87" t="s">
        <v>545</v>
      </c>
      <c r="E2" s="87" t="s">
        <v>546</v>
      </c>
      <c r="F2" s="87" t="s">
        <v>547</v>
      </c>
      <c r="G2" s="87" t="s">
        <v>548</v>
      </c>
      <c r="H2" s="87" t="s">
        <v>549</v>
      </c>
      <c r="I2" s="87" t="s">
        <v>550</v>
      </c>
      <c r="J2" s="87" t="s">
        <v>551</v>
      </c>
      <c r="K2" s="87" t="s">
        <v>552</v>
      </c>
      <c r="L2" s="87" t="s">
        <v>553</v>
      </c>
      <c r="M2" s="87" t="s">
        <v>554</v>
      </c>
      <c r="N2" s="87" t="s">
        <v>555</v>
      </c>
      <c r="O2" s="87" t="s">
        <v>556</v>
      </c>
      <c r="P2" s="87" t="s">
        <v>557</v>
      </c>
      <c r="Q2" s="87" t="s">
        <v>543</v>
      </c>
      <c r="R2" s="87" t="s">
        <v>544</v>
      </c>
      <c r="S2" s="87" t="s">
        <v>545</v>
      </c>
      <c r="T2" s="87" t="s">
        <v>546</v>
      </c>
      <c r="U2" s="87" t="s">
        <v>547</v>
      </c>
      <c r="V2" s="87" t="s">
        <v>548</v>
      </c>
      <c r="W2" s="87" t="s">
        <v>549</v>
      </c>
      <c r="X2" s="87" t="s">
        <v>550</v>
      </c>
      <c r="Y2" s="87" t="s">
        <v>551</v>
      </c>
      <c r="Z2" s="87" t="s">
        <v>552</v>
      </c>
      <c r="AA2" s="87" t="s">
        <v>553</v>
      </c>
      <c r="AB2" s="87" t="s">
        <v>554</v>
      </c>
      <c r="AC2" s="87" t="s">
        <v>555</v>
      </c>
      <c r="AD2" s="87" t="s">
        <v>556</v>
      </c>
      <c r="AE2" s="87" t="s">
        <v>557</v>
      </c>
      <c r="AF2" s="87" t="s">
        <v>543</v>
      </c>
      <c r="AG2" s="87" t="s">
        <v>544</v>
      </c>
      <c r="AH2" s="87" t="s">
        <v>545</v>
      </c>
      <c r="AI2" s="87" t="s">
        <v>546</v>
      </c>
      <c r="AJ2" s="87" t="s">
        <v>547</v>
      </c>
      <c r="AK2" s="87" t="s">
        <v>548</v>
      </c>
      <c r="AL2" s="87" t="s">
        <v>549</v>
      </c>
      <c r="AM2" s="87" t="s">
        <v>550</v>
      </c>
      <c r="AN2" s="87" t="s">
        <v>551</v>
      </c>
      <c r="AO2" s="87" t="s">
        <v>552</v>
      </c>
      <c r="AP2" s="87" t="s">
        <v>553</v>
      </c>
      <c r="AQ2" s="87" t="s">
        <v>554</v>
      </c>
      <c r="AR2" s="87" t="s">
        <v>555</v>
      </c>
      <c r="AS2" s="87" t="s">
        <v>556</v>
      </c>
      <c r="AT2" s="87" t="s">
        <v>557</v>
      </c>
      <c r="AU2" s="87" t="s">
        <v>558</v>
      </c>
      <c r="AV2" s="87" t="s">
        <v>559</v>
      </c>
      <c r="AW2" s="87" t="s">
        <v>560</v>
      </c>
      <c r="AX2" s="87" t="s">
        <v>561</v>
      </c>
      <c r="AY2" s="87" t="s">
        <v>562</v>
      </c>
      <c r="AZ2" s="87" t="s">
        <v>591</v>
      </c>
      <c r="BA2" s="87" t="s">
        <v>599</v>
      </c>
    </row>
    <row r="3" spans="1:58" ht="15.75">
      <c r="A3" s="88">
        <v>201</v>
      </c>
      <c r="B3" s="88">
        <v>0.03</v>
      </c>
      <c r="C3" s="88">
        <v>0.74</v>
      </c>
      <c r="D3" s="88">
        <v>1900000</v>
      </c>
      <c r="E3" s="88">
        <v>0.12</v>
      </c>
      <c r="F3" s="88">
        <v>0.93</v>
      </c>
      <c r="G3" s="88">
        <v>1500000</v>
      </c>
      <c r="H3" s="88">
        <v>0.05</v>
      </c>
      <c r="I3" s="88">
        <v>0.06</v>
      </c>
      <c r="J3" s="88">
        <v>70000</v>
      </c>
      <c r="K3" s="88">
        <v>-999</v>
      </c>
      <c r="L3" s="88">
        <v>-999</v>
      </c>
      <c r="M3" s="88">
        <v>-999</v>
      </c>
      <c r="N3" s="88">
        <v>-999</v>
      </c>
      <c r="O3" s="88">
        <v>-999</v>
      </c>
      <c r="P3" s="88">
        <v>-999</v>
      </c>
      <c r="Q3" s="88">
        <v>0.1</v>
      </c>
      <c r="R3" s="88">
        <v>0.95</v>
      </c>
      <c r="S3" s="88">
        <v>1600000</v>
      </c>
      <c r="T3" s="88">
        <v>0.1</v>
      </c>
      <c r="U3" s="88">
        <v>0.95</v>
      </c>
      <c r="V3" s="88">
        <v>1600000</v>
      </c>
      <c r="W3" s="88">
        <v>0.1</v>
      </c>
      <c r="X3" s="88">
        <v>0.95</v>
      </c>
      <c r="Y3" s="88">
        <v>1600000</v>
      </c>
      <c r="Z3" s="88">
        <v>-999</v>
      </c>
      <c r="AA3" s="88">
        <v>-999</v>
      </c>
      <c r="AB3" s="88">
        <v>-999</v>
      </c>
      <c r="AC3" s="88">
        <v>-999</v>
      </c>
      <c r="AD3" s="88">
        <v>-999</v>
      </c>
      <c r="AE3" s="88">
        <v>-999</v>
      </c>
      <c r="AF3" s="88">
        <v>0.05</v>
      </c>
      <c r="AG3" s="88">
        <v>0.93</v>
      </c>
      <c r="AH3" s="88">
        <v>1500000</v>
      </c>
      <c r="AI3" s="88">
        <v>0.05</v>
      </c>
      <c r="AJ3" s="88">
        <v>0.93</v>
      </c>
      <c r="AK3" s="88">
        <v>1500000</v>
      </c>
      <c r="AL3" s="88">
        <v>0.05</v>
      </c>
      <c r="AM3" s="88">
        <v>0.93</v>
      </c>
      <c r="AN3" s="88">
        <v>1500000</v>
      </c>
      <c r="AO3" s="88">
        <v>-999</v>
      </c>
      <c r="AP3" s="88">
        <v>-999</v>
      </c>
      <c r="AQ3" s="88">
        <v>-999</v>
      </c>
      <c r="AR3" s="88">
        <v>-999</v>
      </c>
      <c r="AS3" s="88">
        <v>-999</v>
      </c>
      <c r="AT3" s="88">
        <v>-999</v>
      </c>
      <c r="AU3" s="88">
        <v>10</v>
      </c>
      <c r="AV3" s="88">
        <v>0.2</v>
      </c>
      <c r="AW3" s="88">
        <v>1</v>
      </c>
      <c r="AX3" s="88">
        <v>1E-3</v>
      </c>
      <c r="AY3" s="88">
        <v>1E-3</v>
      </c>
      <c r="AZ3" s="88">
        <v>1E-3</v>
      </c>
      <c r="BA3" s="88">
        <v>1.08</v>
      </c>
      <c r="BB3" s="88" t="s">
        <v>563</v>
      </c>
      <c r="BD3" s="89" t="s">
        <v>564</v>
      </c>
      <c r="BF3" s="88" t="s">
        <v>565</v>
      </c>
    </row>
    <row r="4" spans="1:58">
      <c r="A4" s="88">
        <v>799</v>
      </c>
      <c r="B4" s="88">
        <v>0.2</v>
      </c>
      <c r="C4" s="88">
        <v>0.5</v>
      </c>
      <c r="D4" s="88">
        <v>840000</v>
      </c>
      <c r="E4" s="88">
        <v>0.1</v>
      </c>
      <c r="F4" s="88">
        <v>0.03</v>
      </c>
      <c r="G4" s="88">
        <v>56000</v>
      </c>
      <c r="H4" s="88">
        <v>0.05</v>
      </c>
      <c r="I4" s="88">
        <v>0.14000000000000001</v>
      </c>
      <c r="J4" s="88">
        <v>780000</v>
      </c>
      <c r="K4" s="88">
        <v>-999</v>
      </c>
      <c r="L4" s="88">
        <v>-999</v>
      </c>
      <c r="M4" s="88">
        <v>-999</v>
      </c>
      <c r="N4" s="88">
        <v>-999</v>
      </c>
      <c r="O4" s="88">
        <v>-999</v>
      </c>
      <c r="P4" s="88">
        <v>-999</v>
      </c>
      <c r="Q4" s="88">
        <v>0.05</v>
      </c>
      <c r="R4" s="88">
        <v>0.31</v>
      </c>
      <c r="S4" s="88">
        <v>877000</v>
      </c>
      <c r="T4" s="88">
        <v>0.05</v>
      </c>
      <c r="U4" s="88">
        <v>0.31</v>
      </c>
      <c r="V4" s="88">
        <v>877000</v>
      </c>
      <c r="W4" s="88">
        <v>0.05</v>
      </c>
      <c r="X4" s="88">
        <v>0.31</v>
      </c>
      <c r="Y4" s="88">
        <v>877000</v>
      </c>
      <c r="Z4" s="88">
        <v>-999</v>
      </c>
      <c r="AA4" s="88">
        <v>-999</v>
      </c>
      <c r="AB4" s="88">
        <v>-999</v>
      </c>
      <c r="AC4" s="88">
        <v>-999</v>
      </c>
      <c r="AD4" s="88">
        <v>-999</v>
      </c>
      <c r="AE4" s="88">
        <v>-999</v>
      </c>
      <c r="AF4" s="88">
        <v>3.5000000000000003E-2</v>
      </c>
      <c r="AG4" s="88">
        <v>0.5</v>
      </c>
      <c r="AH4" s="88">
        <v>1000000</v>
      </c>
      <c r="AI4" s="88">
        <v>3.5000000000000003E-2</v>
      </c>
      <c r="AJ4" s="88">
        <v>0.5</v>
      </c>
      <c r="AK4" s="88">
        <v>1000000</v>
      </c>
      <c r="AL4" s="88">
        <v>3.5000000000000003E-2</v>
      </c>
      <c r="AM4" s="88">
        <v>0.5</v>
      </c>
      <c r="AN4" s="88">
        <v>1000000</v>
      </c>
      <c r="AO4" s="88">
        <v>-999</v>
      </c>
      <c r="AP4" s="88">
        <v>-999</v>
      </c>
      <c r="AQ4" s="88">
        <v>-999</v>
      </c>
      <c r="AR4" s="88">
        <v>-999</v>
      </c>
      <c r="AS4" s="88">
        <v>-999</v>
      </c>
      <c r="AT4" s="88">
        <v>-999</v>
      </c>
      <c r="AU4" s="88">
        <v>20</v>
      </c>
      <c r="AV4" s="88">
        <v>0.5</v>
      </c>
      <c r="AW4" s="88">
        <v>1</v>
      </c>
      <c r="AX4" s="88">
        <v>1.5E-3</v>
      </c>
      <c r="AY4" s="88">
        <v>1.5E-3</v>
      </c>
      <c r="AZ4" s="88">
        <v>1.5E-3</v>
      </c>
      <c r="BA4" s="88">
        <v>1.08</v>
      </c>
      <c r="BB4" s="88" t="s">
        <v>563</v>
      </c>
      <c r="BD4" s="88" t="s">
        <v>566</v>
      </c>
      <c r="BF4" s="88" t="s">
        <v>567</v>
      </c>
    </row>
    <row r="5" spans="1:58" ht="15.75">
      <c r="A5" s="88">
        <v>501</v>
      </c>
      <c r="B5" s="88">
        <v>0.1</v>
      </c>
      <c r="C5" s="88">
        <v>0.76</v>
      </c>
      <c r="D5" s="88">
        <v>1500000</v>
      </c>
      <c r="E5" s="88">
        <v>0.25</v>
      </c>
      <c r="F5" s="88">
        <v>0.74</v>
      </c>
      <c r="G5" s="88">
        <v>1900000</v>
      </c>
      <c r="H5" s="88">
        <v>1</v>
      </c>
      <c r="I5" s="88">
        <v>0.63</v>
      </c>
      <c r="J5" s="88">
        <v>1200000</v>
      </c>
      <c r="K5" s="88">
        <v>3</v>
      </c>
      <c r="L5" s="88">
        <v>0.63</v>
      </c>
      <c r="M5" s="88">
        <v>1200000</v>
      </c>
      <c r="N5" s="88">
        <v>-999</v>
      </c>
      <c r="O5" s="88">
        <v>-999</v>
      </c>
      <c r="P5" s="88">
        <v>-999</v>
      </c>
      <c r="Q5" s="88">
        <v>-999</v>
      </c>
      <c r="R5" s="88">
        <v>-999</v>
      </c>
      <c r="S5" s="88">
        <v>-999</v>
      </c>
      <c r="T5" s="88">
        <v>-999</v>
      </c>
      <c r="U5" s="88">
        <v>-999</v>
      </c>
      <c r="V5" s="88">
        <v>-999</v>
      </c>
      <c r="W5" s="88">
        <v>-999</v>
      </c>
      <c r="X5" s="88">
        <v>-999</v>
      </c>
      <c r="Y5" s="88">
        <v>-999</v>
      </c>
      <c r="Z5" s="88">
        <v>-999</v>
      </c>
      <c r="AA5" s="88">
        <v>-999</v>
      </c>
      <c r="AB5" s="88">
        <v>-999</v>
      </c>
      <c r="AC5" s="88">
        <v>-999</v>
      </c>
      <c r="AD5" s="88">
        <v>-999</v>
      </c>
      <c r="AE5" s="88">
        <v>-999</v>
      </c>
      <c r="AF5" s="88">
        <v>-999</v>
      </c>
      <c r="AG5" s="88">
        <v>-999</v>
      </c>
      <c r="AH5" s="88">
        <v>-999</v>
      </c>
      <c r="AI5" s="88">
        <v>-999</v>
      </c>
      <c r="AJ5" s="88">
        <v>-999</v>
      </c>
      <c r="AK5" s="88">
        <v>-999</v>
      </c>
      <c r="AL5" s="88">
        <v>-999</v>
      </c>
      <c r="AM5" s="88">
        <v>-999</v>
      </c>
      <c r="AN5" s="88">
        <v>-999</v>
      </c>
      <c r="AO5" s="88">
        <v>-999</v>
      </c>
      <c r="AP5" s="88">
        <v>-999</v>
      </c>
      <c r="AQ5" s="88">
        <v>-999</v>
      </c>
      <c r="AR5" s="88">
        <v>-999</v>
      </c>
      <c r="AS5" s="88">
        <v>-999</v>
      </c>
      <c r="AT5" s="88">
        <v>-999</v>
      </c>
      <c r="AU5" s="88">
        <v>-999</v>
      </c>
      <c r="AV5" s="88">
        <v>-999</v>
      </c>
      <c r="AW5" s="88">
        <v>-999</v>
      </c>
      <c r="AX5" s="88">
        <v>-999</v>
      </c>
      <c r="AY5" s="88">
        <v>-999</v>
      </c>
      <c r="AZ5" s="88">
        <v>-999</v>
      </c>
      <c r="BA5" s="88">
        <v>-999</v>
      </c>
      <c r="BB5" s="88" t="s">
        <v>568</v>
      </c>
      <c r="BD5" s="89" t="s">
        <v>564</v>
      </c>
      <c r="BF5" s="88" t="s">
        <v>565</v>
      </c>
    </row>
    <row r="6" spans="1:58">
      <c r="A6" s="88">
        <v>800</v>
      </c>
      <c r="B6" s="88">
        <v>0.1</v>
      </c>
      <c r="C6" s="88">
        <v>0.65</v>
      </c>
      <c r="D6" s="88">
        <v>1500000</v>
      </c>
      <c r="E6" s="88">
        <v>0.1</v>
      </c>
      <c r="F6" s="88">
        <v>0.93</v>
      </c>
      <c r="G6" s="88">
        <v>1500000</v>
      </c>
      <c r="H6" s="88">
        <v>1</v>
      </c>
      <c r="I6" s="88">
        <v>0.63</v>
      </c>
      <c r="J6" s="88">
        <v>1200000</v>
      </c>
      <c r="K6" s="88">
        <v>3</v>
      </c>
      <c r="L6" s="88">
        <v>0.63</v>
      </c>
      <c r="M6" s="88">
        <v>1200000</v>
      </c>
      <c r="N6" s="88">
        <v>-999</v>
      </c>
      <c r="O6" s="88">
        <v>-999</v>
      </c>
      <c r="P6" s="88">
        <v>-999</v>
      </c>
      <c r="Q6" s="88">
        <v>-999</v>
      </c>
      <c r="R6" s="88">
        <v>-999</v>
      </c>
      <c r="S6" s="88">
        <v>-999</v>
      </c>
      <c r="T6" s="88">
        <v>-999</v>
      </c>
      <c r="U6" s="88">
        <v>-999</v>
      </c>
      <c r="V6" s="88">
        <v>-999</v>
      </c>
      <c r="W6" s="88">
        <v>-999</v>
      </c>
      <c r="X6" s="88">
        <v>-999</v>
      </c>
      <c r="Y6" s="88">
        <v>-999</v>
      </c>
      <c r="Z6" s="88">
        <v>-999</v>
      </c>
      <c r="AA6" s="88">
        <v>-999</v>
      </c>
      <c r="AB6" s="88">
        <v>-999</v>
      </c>
      <c r="AC6" s="88">
        <v>-999</v>
      </c>
      <c r="AD6" s="88">
        <v>-999</v>
      </c>
      <c r="AE6" s="88">
        <v>-999</v>
      </c>
      <c r="AF6" s="88">
        <v>-999</v>
      </c>
      <c r="AG6" s="88">
        <v>-999</v>
      </c>
      <c r="AH6" s="88">
        <v>-999</v>
      </c>
      <c r="AI6" s="88">
        <v>-999</v>
      </c>
      <c r="AJ6" s="88">
        <v>-999</v>
      </c>
      <c r="AK6" s="88">
        <v>-999</v>
      </c>
      <c r="AL6" s="88">
        <v>-999</v>
      </c>
      <c r="AM6" s="88">
        <v>-999</v>
      </c>
      <c r="AN6" s="88">
        <v>-999</v>
      </c>
      <c r="AO6" s="88">
        <v>-999</v>
      </c>
      <c r="AP6" s="88">
        <v>-999</v>
      </c>
      <c r="AQ6" s="88">
        <v>-999</v>
      </c>
      <c r="AR6" s="88">
        <v>-999</v>
      </c>
      <c r="AS6" s="88">
        <v>-999</v>
      </c>
      <c r="AT6" s="88">
        <v>-999</v>
      </c>
      <c r="AU6" s="88">
        <v>-999</v>
      </c>
      <c r="AV6" s="88">
        <v>-999</v>
      </c>
      <c r="AW6" s="88">
        <v>-999</v>
      </c>
      <c r="AX6" s="88">
        <v>-999</v>
      </c>
      <c r="AY6" s="88">
        <v>-999</v>
      </c>
      <c r="AZ6" s="88">
        <v>-999</v>
      </c>
      <c r="BA6" s="88">
        <v>-999</v>
      </c>
      <c r="BB6" s="88" t="s">
        <v>568</v>
      </c>
      <c r="BD6" s="88" t="s">
        <v>566</v>
      </c>
      <c r="BF6" s="88" t="s">
        <v>567</v>
      </c>
    </row>
    <row r="7" spans="1:58">
      <c r="A7" s="88">
        <v>-9</v>
      </c>
    </row>
    <row r="8" spans="1:58">
      <c r="A8" s="88">
        <v>-9</v>
      </c>
    </row>
    <row r="10" spans="1:58">
      <c r="A10" s="88" t="s">
        <v>16</v>
      </c>
      <c r="E10" s="88" t="s">
        <v>593</v>
      </c>
      <c r="F10" s="88" t="s">
        <v>594</v>
      </c>
    </row>
    <row r="11" spans="1:58">
      <c r="A11" s="88" t="s">
        <v>16</v>
      </c>
      <c r="C11" s="88">
        <v>1</v>
      </c>
      <c r="D11" s="88" t="s">
        <v>1</v>
      </c>
    </row>
    <row r="12" spans="1:58">
      <c r="A12" s="88" t="s">
        <v>16</v>
      </c>
      <c r="C12" s="88">
        <f>C11+1</f>
        <v>2</v>
      </c>
      <c r="D12" s="88" t="s">
        <v>543</v>
      </c>
      <c r="E12" s="88" t="s">
        <v>598</v>
      </c>
      <c r="G12" s="88" t="s">
        <v>569</v>
      </c>
    </row>
    <row r="13" spans="1:58">
      <c r="A13" s="88" t="s">
        <v>16</v>
      </c>
      <c r="C13" s="88">
        <f t="shared" ref="C13:C62" si="1">C12+1</f>
        <v>3</v>
      </c>
      <c r="D13" s="88" t="s">
        <v>544</v>
      </c>
      <c r="G13" s="88" t="s">
        <v>570</v>
      </c>
    </row>
    <row r="14" spans="1:58">
      <c r="A14" s="88" t="s">
        <v>16</v>
      </c>
      <c r="C14" s="88">
        <f t="shared" si="1"/>
        <v>4</v>
      </c>
      <c r="D14" s="88" t="s">
        <v>545</v>
      </c>
      <c r="G14" s="88" t="s">
        <v>571</v>
      </c>
    </row>
    <row r="15" spans="1:58">
      <c r="A15" s="88" t="s">
        <v>16</v>
      </c>
      <c r="C15" s="88">
        <f t="shared" si="1"/>
        <v>5</v>
      </c>
      <c r="D15" s="88" t="s">
        <v>546</v>
      </c>
      <c r="G15" s="88" t="s">
        <v>572</v>
      </c>
    </row>
    <row r="16" spans="1:58">
      <c r="A16" s="88" t="s">
        <v>16</v>
      </c>
      <c r="C16" s="88">
        <f t="shared" si="1"/>
        <v>6</v>
      </c>
      <c r="D16" s="88" t="s">
        <v>547</v>
      </c>
      <c r="G16" s="88" t="s">
        <v>573</v>
      </c>
    </row>
    <row r="17" spans="1:7">
      <c r="A17" s="88" t="s">
        <v>16</v>
      </c>
      <c r="C17" s="88">
        <f t="shared" si="1"/>
        <v>7</v>
      </c>
      <c r="D17" s="88" t="s">
        <v>548</v>
      </c>
      <c r="G17" s="88" t="s">
        <v>574</v>
      </c>
    </row>
    <row r="18" spans="1:7">
      <c r="A18" s="88" t="s">
        <v>16</v>
      </c>
      <c r="C18" s="88">
        <f t="shared" si="1"/>
        <v>8</v>
      </c>
      <c r="D18" s="88" t="s">
        <v>549</v>
      </c>
      <c r="G18" s="88" t="s">
        <v>575</v>
      </c>
    </row>
    <row r="19" spans="1:7">
      <c r="A19" s="88" t="s">
        <v>16</v>
      </c>
      <c r="C19" s="88">
        <f t="shared" si="1"/>
        <v>9</v>
      </c>
      <c r="D19" s="88" t="s">
        <v>550</v>
      </c>
      <c r="G19" s="88" t="s">
        <v>576</v>
      </c>
    </row>
    <row r="20" spans="1:7">
      <c r="A20" s="88" t="s">
        <v>16</v>
      </c>
      <c r="C20" s="88">
        <f t="shared" si="1"/>
        <v>10</v>
      </c>
      <c r="D20" s="88" t="s">
        <v>551</v>
      </c>
      <c r="G20" s="88" t="s">
        <v>577</v>
      </c>
    </row>
    <row r="21" spans="1:7">
      <c r="A21" s="88" t="s">
        <v>16</v>
      </c>
      <c r="C21" s="88">
        <f t="shared" si="1"/>
        <v>11</v>
      </c>
      <c r="D21" s="88" t="s">
        <v>552</v>
      </c>
      <c r="G21" s="88" t="s">
        <v>578</v>
      </c>
    </row>
    <row r="22" spans="1:7">
      <c r="A22" s="88" t="s">
        <v>16</v>
      </c>
      <c r="C22" s="88">
        <f t="shared" si="1"/>
        <v>12</v>
      </c>
      <c r="D22" s="88" t="s">
        <v>553</v>
      </c>
      <c r="G22" s="88" t="s">
        <v>579</v>
      </c>
    </row>
    <row r="23" spans="1:7">
      <c r="A23" s="88" t="s">
        <v>16</v>
      </c>
      <c r="C23" s="88">
        <f t="shared" si="1"/>
        <v>13</v>
      </c>
      <c r="D23" s="88" t="s">
        <v>554</v>
      </c>
      <c r="G23" s="88" t="s">
        <v>580</v>
      </c>
    </row>
    <row r="24" spans="1:7">
      <c r="A24" s="88" t="s">
        <v>16</v>
      </c>
      <c r="C24" s="88">
        <f t="shared" si="1"/>
        <v>14</v>
      </c>
      <c r="D24" s="88" t="s">
        <v>555</v>
      </c>
      <c r="G24" s="88" t="s">
        <v>581</v>
      </c>
    </row>
    <row r="25" spans="1:7">
      <c r="A25" s="88" t="s">
        <v>16</v>
      </c>
      <c r="C25" s="88">
        <f t="shared" si="1"/>
        <v>15</v>
      </c>
      <c r="D25" s="88" t="s">
        <v>556</v>
      </c>
      <c r="G25" s="88" t="s">
        <v>582</v>
      </c>
    </row>
    <row r="26" spans="1:7">
      <c r="A26" s="88" t="s">
        <v>16</v>
      </c>
      <c r="C26" s="88">
        <f t="shared" si="1"/>
        <v>16</v>
      </c>
      <c r="D26" s="88" t="s">
        <v>557</v>
      </c>
      <c r="G26" s="88" t="s">
        <v>583</v>
      </c>
    </row>
    <row r="27" spans="1:7">
      <c r="A27" s="88" t="s">
        <v>16</v>
      </c>
      <c r="C27" s="88">
        <f t="shared" si="1"/>
        <v>17</v>
      </c>
      <c r="D27" s="88" t="s">
        <v>543</v>
      </c>
      <c r="E27" s="88" t="s">
        <v>596</v>
      </c>
      <c r="F27" s="88" t="s">
        <v>595</v>
      </c>
      <c r="G27" s="88" t="s">
        <v>569</v>
      </c>
    </row>
    <row r="28" spans="1:7">
      <c r="A28" s="88" t="s">
        <v>16</v>
      </c>
      <c r="C28" s="88">
        <f t="shared" si="1"/>
        <v>18</v>
      </c>
      <c r="D28" s="88" t="s">
        <v>544</v>
      </c>
      <c r="F28" s="88" t="s">
        <v>595</v>
      </c>
      <c r="G28" s="88" t="s">
        <v>570</v>
      </c>
    </row>
    <row r="29" spans="1:7">
      <c r="A29" s="88" t="s">
        <v>16</v>
      </c>
      <c r="C29" s="88">
        <f t="shared" si="1"/>
        <v>19</v>
      </c>
      <c r="D29" s="88" t="s">
        <v>545</v>
      </c>
      <c r="F29" s="88" t="s">
        <v>595</v>
      </c>
      <c r="G29" s="88" t="s">
        <v>571</v>
      </c>
    </row>
    <row r="30" spans="1:7">
      <c r="A30" s="88" t="s">
        <v>16</v>
      </c>
      <c r="C30" s="88">
        <f t="shared" si="1"/>
        <v>20</v>
      </c>
      <c r="D30" s="88" t="s">
        <v>546</v>
      </c>
      <c r="F30" s="88" t="s">
        <v>595</v>
      </c>
      <c r="G30" s="88" t="s">
        <v>572</v>
      </c>
    </row>
    <row r="31" spans="1:7">
      <c r="A31" s="88" t="s">
        <v>16</v>
      </c>
      <c r="C31" s="88">
        <f t="shared" si="1"/>
        <v>21</v>
      </c>
      <c r="D31" s="88" t="s">
        <v>547</v>
      </c>
      <c r="F31" s="88" t="s">
        <v>595</v>
      </c>
      <c r="G31" s="88" t="s">
        <v>573</v>
      </c>
    </row>
    <row r="32" spans="1:7">
      <c r="A32" s="88" t="s">
        <v>16</v>
      </c>
      <c r="C32" s="88">
        <f t="shared" si="1"/>
        <v>22</v>
      </c>
      <c r="D32" s="88" t="s">
        <v>548</v>
      </c>
      <c r="F32" s="88" t="s">
        <v>595</v>
      </c>
      <c r="G32" s="88" t="s">
        <v>574</v>
      </c>
    </row>
    <row r="33" spans="1:7">
      <c r="A33" s="88" t="s">
        <v>16</v>
      </c>
      <c r="C33" s="88">
        <f t="shared" si="1"/>
        <v>23</v>
      </c>
      <c r="D33" s="88" t="s">
        <v>549</v>
      </c>
      <c r="F33" s="88" t="s">
        <v>595</v>
      </c>
      <c r="G33" s="88" t="s">
        <v>575</v>
      </c>
    </row>
    <row r="34" spans="1:7">
      <c r="A34" s="88" t="s">
        <v>16</v>
      </c>
      <c r="C34" s="88">
        <f t="shared" si="1"/>
        <v>24</v>
      </c>
      <c r="D34" s="88" t="s">
        <v>550</v>
      </c>
      <c r="F34" s="88" t="s">
        <v>595</v>
      </c>
      <c r="G34" s="88" t="s">
        <v>576</v>
      </c>
    </row>
    <row r="35" spans="1:7">
      <c r="A35" s="88" t="s">
        <v>16</v>
      </c>
      <c r="C35" s="88">
        <f t="shared" si="1"/>
        <v>25</v>
      </c>
      <c r="D35" s="88" t="s">
        <v>551</v>
      </c>
      <c r="F35" s="88" t="s">
        <v>595</v>
      </c>
      <c r="G35" s="88" t="s">
        <v>577</v>
      </c>
    </row>
    <row r="36" spans="1:7">
      <c r="A36" s="88" t="s">
        <v>16</v>
      </c>
      <c r="C36" s="88">
        <f t="shared" si="1"/>
        <v>26</v>
      </c>
      <c r="D36" s="88" t="s">
        <v>552</v>
      </c>
      <c r="F36" s="88" t="s">
        <v>595</v>
      </c>
      <c r="G36" s="88" t="s">
        <v>578</v>
      </c>
    </row>
    <row r="37" spans="1:7">
      <c r="A37" s="88" t="s">
        <v>16</v>
      </c>
      <c r="C37" s="88">
        <f t="shared" si="1"/>
        <v>27</v>
      </c>
      <c r="D37" s="88" t="s">
        <v>553</v>
      </c>
      <c r="F37" s="88" t="s">
        <v>595</v>
      </c>
      <c r="G37" s="88" t="s">
        <v>579</v>
      </c>
    </row>
    <row r="38" spans="1:7">
      <c r="A38" s="88" t="s">
        <v>16</v>
      </c>
      <c r="C38" s="88">
        <f t="shared" si="1"/>
        <v>28</v>
      </c>
      <c r="D38" s="88" t="s">
        <v>554</v>
      </c>
      <c r="F38" s="88" t="s">
        <v>595</v>
      </c>
      <c r="G38" s="88" t="s">
        <v>580</v>
      </c>
    </row>
    <row r="39" spans="1:7">
      <c r="A39" s="88" t="s">
        <v>16</v>
      </c>
      <c r="C39" s="88">
        <f t="shared" si="1"/>
        <v>29</v>
      </c>
      <c r="D39" s="88" t="s">
        <v>555</v>
      </c>
      <c r="F39" s="88" t="s">
        <v>595</v>
      </c>
      <c r="G39" s="88" t="s">
        <v>581</v>
      </c>
    </row>
    <row r="40" spans="1:7">
      <c r="A40" s="88" t="s">
        <v>16</v>
      </c>
      <c r="C40" s="88">
        <f t="shared" si="1"/>
        <v>30</v>
      </c>
      <c r="D40" s="88" t="s">
        <v>556</v>
      </c>
      <c r="F40" s="88" t="s">
        <v>595</v>
      </c>
      <c r="G40" s="88" t="s">
        <v>582</v>
      </c>
    </row>
    <row r="41" spans="1:7">
      <c r="A41" s="88" t="s">
        <v>16</v>
      </c>
      <c r="C41" s="88">
        <f t="shared" si="1"/>
        <v>31</v>
      </c>
      <c r="D41" s="88" t="s">
        <v>557</v>
      </c>
      <c r="F41" s="88" t="s">
        <v>595</v>
      </c>
      <c r="G41" s="88" t="s">
        <v>583</v>
      </c>
    </row>
    <row r="42" spans="1:7">
      <c r="A42" s="88" t="s">
        <v>16</v>
      </c>
      <c r="C42" s="88">
        <f t="shared" si="1"/>
        <v>32</v>
      </c>
      <c r="D42" s="88" t="s">
        <v>543</v>
      </c>
      <c r="E42" s="88" t="s">
        <v>597</v>
      </c>
      <c r="F42" s="88" t="s">
        <v>595</v>
      </c>
      <c r="G42" s="88" t="s">
        <v>569</v>
      </c>
    </row>
    <row r="43" spans="1:7">
      <c r="A43" s="88" t="s">
        <v>16</v>
      </c>
      <c r="C43" s="88">
        <f t="shared" si="1"/>
        <v>33</v>
      </c>
      <c r="D43" s="88" t="s">
        <v>544</v>
      </c>
      <c r="F43" s="88" t="s">
        <v>595</v>
      </c>
      <c r="G43" s="88" t="s">
        <v>570</v>
      </c>
    </row>
    <row r="44" spans="1:7">
      <c r="A44" s="88" t="s">
        <v>16</v>
      </c>
      <c r="C44" s="88">
        <f t="shared" si="1"/>
        <v>34</v>
      </c>
      <c r="D44" s="88" t="s">
        <v>545</v>
      </c>
      <c r="F44" s="88" t="s">
        <v>595</v>
      </c>
      <c r="G44" s="88" t="s">
        <v>571</v>
      </c>
    </row>
    <row r="45" spans="1:7">
      <c r="A45" s="88" t="s">
        <v>16</v>
      </c>
      <c r="C45" s="88">
        <f t="shared" si="1"/>
        <v>35</v>
      </c>
      <c r="D45" s="88" t="s">
        <v>546</v>
      </c>
      <c r="F45" s="88" t="s">
        <v>595</v>
      </c>
      <c r="G45" s="88" t="s">
        <v>572</v>
      </c>
    </row>
    <row r="46" spans="1:7">
      <c r="A46" s="88" t="s">
        <v>16</v>
      </c>
      <c r="C46" s="88">
        <f t="shared" si="1"/>
        <v>36</v>
      </c>
      <c r="D46" s="88" t="s">
        <v>547</v>
      </c>
      <c r="F46" s="88" t="s">
        <v>595</v>
      </c>
      <c r="G46" s="88" t="s">
        <v>573</v>
      </c>
    </row>
    <row r="47" spans="1:7">
      <c r="A47" s="88" t="s">
        <v>16</v>
      </c>
      <c r="C47" s="88">
        <f t="shared" si="1"/>
        <v>37</v>
      </c>
      <c r="D47" s="88" t="s">
        <v>548</v>
      </c>
      <c r="F47" s="88" t="s">
        <v>595</v>
      </c>
      <c r="G47" s="88" t="s">
        <v>574</v>
      </c>
    </row>
    <row r="48" spans="1:7">
      <c r="A48" s="88" t="s">
        <v>16</v>
      </c>
      <c r="C48" s="88">
        <f t="shared" si="1"/>
        <v>38</v>
      </c>
      <c r="D48" s="88" t="s">
        <v>549</v>
      </c>
      <c r="F48" s="88" t="s">
        <v>595</v>
      </c>
      <c r="G48" s="88" t="s">
        <v>575</v>
      </c>
    </row>
    <row r="49" spans="1:7">
      <c r="A49" s="88" t="s">
        <v>16</v>
      </c>
      <c r="C49" s="88">
        <f t="shared" si="1"/>
        <v>39</v>
      </c>
      <c r="D49" s="88" t="s">
        <v>550</v>
      </c>
      <c r="F49" s="88" t="s">
        <v>595</v>
      </c>
      <c r="G49" s="88" t="s">
        <v>576</v>
      </c>
    </row>
    <row r="50" spans="1:7">
      <c r="A50" s="88" t="s">
        <v>16</v>
      </c>
      <c r="C50" s="88">
        <f t="shared" si="1"/>
        <v>40</v>
      </c>
      <c r="D50" s="88" t="s">
        <v>551</v>
      </c>
      <c r="F50" s="88" t="s">
        <v>595</v>
      </c>
      <c r="G50" s="88" t="s">
        <v>577</v>
      </c>
    </row>
    <row r="51" spans="1:7">
      <c r="A51" s="88" t="s">
        <v>16</v>
      </c>
      <c r="C51" s="88">
        <f t="shared" si="1"/>
        <v>41</v>
      </c>
      <c r="D51" s="88" t="s">
        <v>552</v>
      </c>
      <c r="F51" s="88" t="s">
        <v>595</v>
      </c>
      <c r="G51" s="88" t="s">
        <v>578</v>
      </c>
    </row>
    <row r="52" spans="1:7">
      <c r="A52" s="88" t="s">
        <v>16</v>
      </c>
      <c r="C52" s="88">
        <f t="shared" si="1"/>
        <v>42</v>
      </c>
      <c r="D52" s="88" t="s">
        <v>553</v>
      </c>
      <c r="F52" s="88" t="s">
        <v>595</v>
      </c>
      <c r="G52" s="88" t="s">
        <v>579</v>
      </c>
    </row>
    <row r="53" spans="1:7">
      <c r="A53" s="88" t="s">
        <v>16</v>
      </c>
      <c r="C53" s="88">
        <f t="shared" si="1"/>
        <v>43</v>
      </c>
      <c r="D53" s="88" t="s">
        <v>554</v>
      </c>
      <c r="F53" s="88" t="s">
        <v>595</v>
      </c>
      <c r="G53" s="88" t="s">
        <v>580</v>
      </c>
    </row>
    <row r="54" spans="1:7">
      <c r="A54" s="88" t="s">
        <v>16</v>
      </c>
      <c r="C54" s="88">
        <f t="shared" si="1"/>
        <v>44</v>
      </c>
      <c r="D54" s="88" t="s">
        <v>555</v>
      </c>
      <c r="F54" s="88" t="s">
        <v>595</v>
      </c>
      <c r="G54" s="88" t="s">
        <v>581</v>
      </c>
    </row>
    <row r="55" spans="1:7">
      <c r="A55" s="88" t="s">
        <v>16</v>
      </c>
      <c r="C55" s="88">
        <f t="shared" si="1"/>
        <v>45</v>
      </c>
      <c r="D55" s="88" t="s">
        <v>556</v>
      </c>
      <c r="F55" s="88" t="s">
        <v>595</v>
      </c>
      <c r="G55" s="88" t="s">
        <v>582</v>
      </c>
    </row>
    <row r="56" spans="1:7">
      <c r="A56" s="88" t="s">
        <v>16</v>
      </c>
      <c r="C56" s="88">
        <f t="shared" si="1"/>
        <v>46</v>
      </c>
      <c r="D56" s="88" t="s">
        <v>557</v>
      </c>
      <c r="F56" s="88" t="s">
        <v>595</v>
      </c>
      <c r="G56" s="88" t="s">
        <v>583</v>
      </c>
    </row>
    <row r="57" spans="1:7">
      <c r="A57" s="88" t="s">
        <v>16</v>
      </c>
      <c r="C57" s="88">
        <f t="shared" si="1"/>
        <v>47</v>
      </c>
      <c r="D57" s="88" t="s">
        <v>558</v>
      </c>
      <c r="F57" s="88" t="s">
        <v>595</v>
      </c>
      <c r="G57" s="88" t="s">
        <v>584</v>
      </c>
    </row>
    <row r="58" spans="1:7">
      <c r="A58" s="88" t="s">
        <v>16</v>
      </c>
      <c r="C58" s="88">
        <f t="shared" si="1"/>
        <v>48</v>
      </c>
      <c r="D58" s="88" t="s">
        <v>585</v>
      </c>
      <c r="F58" s="88" t="s">
        <v>595</v>
      </c>
      <c r="G58" s="88" t="s">
        <v>586</v>
      </c>
    </row>
    <row r="59" spans="1:7">
      <c r="A59" s="88" t="s">
        <v>16</v>
      </c>
      <c r="C59" s="88">
        <f t="shared" si="1"/>
        <v>49</v>
      </c>
      <c r="D59" s="88" t="s">
        <v>587</v>
      </c>
      <c r="F59" s="88" t="s">
        <v>595</v>
      </c>
      <c r="G59" s="88" t="s">
        <v>588</v>
      </c>
    </row>
    <row r="60" spans="1:7">
      <c r="A60" s="88" t="s">
        <v>16</v>
      </c>
      <c r="C60" s="88">
        <f t="shared" si="1"/>
        <v>50</v>
      </c>
      <c r="D60" s="88" t="s">
        <v>561</v>
      </c>
      <c r="F60" s="88" t="s">
        <v>595</v>
      </c>
      <c r="G60" s="88" t="s">
        <v>589</v>
      </c>
    </row>
    <row r="61" spans="1:7">
      <c r="A61" s="88" t="s">
        <v>16</v>
      </c>
      <c r="C61" s="88">
        <f t="shared" si="1"/>
        <v>51</v>
      </c>
      <c r="D61" s="88" t="s">
        <v>562</v>
      </c>
      <c r="F61" s="88" t="s">
        <v>595</v>
      </c>
      <c r="G61" s="88" t="s">
        <v>590</v>
      </c>
    </row>
    <row r="62" spans="1:7">
      <c r="A62" s="88" t="s">
        <v>16</v>
      </c>
      <c r="C62" s="88">
        <f t="shared" si="1"/>
        <v>52</v>
      </c>
      <c r="D62" s="88" t="s">
        <v>591</v>
      </c>
      <c r="F62" s="88" t="s">
        <v>595</v>
      </c>
      <c r="G62" s="88" t="s">
        <v>592</v>
      </c>
    </row>
    <row r="63" spans="1:7">
      <c r="A63" s="88" t="s">
        <v>16</v>
      </c>
      <c r="C63" s="88">
        <v>53</v>
      </c>
      <c r="D63" s="88" t="s">
        <v>599</v>
      </c>
      <c r="F63" s="88" t="s">
        <v>595</v>
      </c>
      <c r="G63" s="88" t="s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  <vt:lpstr>SUEWS_Profiles!_4.10_GIS_input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Shiho</cp:lastModifiedBy>
  <dcterms:created xsi:type="dcterms:W3CDTF">2014-10-10T17:21:16Z</dcterms:created>
  <dcterms:modified xsi:type="dcterms:W3CDTF">2016-03-23T12:02:00Z</dcterms:modified>
</cp:coreProperties>
</file>